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ELL\Downloads\New folder (4)\"/>
    </mc:Choice>
  </mc:AlternateContent>
  <xr:revisionPtr revIDLastSave="0" documentId="13_ncr:1_{8B46270F-AC96-459D-B857-D3F57180C463}" xr6:coauthVersionLast="47" xr6:coauthVersionMax="47" xr10:uidLastSave="{00000000-0000-0000-0000-000000000000}"/>
  <bookViews>
    <workbookView xWindow="-120" yWindow="-120" windowWidth="20730" windowHeight="11160" tabRatio="500" xr2:uid="{00000000-000D-0000-FFFF-FFFF00000000}"/>
  </bookViews>
  <sheets>
    <sheet name="Codebook" sheetId="1" r:id="rId1"/>
    <sheet name="Evidence Map" sheetId="2" r:id="rId2"/>
    <sheet name="Charts" sheetId="3" r:id="rId3"/>
    <sheet name="MMAT Appraisal" sheetId="4" r:id="rId4"/>
    <sheet name="Sheet1" sheetId="5" r:id="rId5"/>
    <sheet name="Old AR-AY (realigned)" sheetId="6" r:id="rId6"/>
  </sheets>
  <definedNames>
    <definedName name="_xlnm._FilterDatabase" localSheetId="4" hidden="1">Sheet1!$A$1:$BV$46</definedName>
  </definedName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BO44" i="5" l="1"/>
  <c r="BP44" i="5" s="1"/>
  <c r="BO40" i="5"/>
  <c r="BP40" i="5" s="1"/>
  <c r="BO36" i="5"/>
  <c r="BP36" i="5" s="1"/>
  <c r="BO32" i="5"/>
  <c r="BP32" i="5" s="1"/>
  <c r="BP29" i="5"/>
  <c r="BO28" i="5"/>
  <c r="BP28" i="5" s="1"/>
  <c r="BP26" i="5"/>
  <c r="BP25" i="5"/>
  <c r="BO24" i="5"/>
  <c r="BP24" i="5" s="1"/>
  <c r="BP23" i="5"/>
  <c r="BP22" i="5"/>
  <c r="BP20" i="5"/>
  <c r="BO20" i="5"/>
  <c r="BP16" i="5"/>
  <c r="BO16" i="5"/>
  <c r="BO12" i="5"/>
  <c r="BP12" i="5" s="1"/>
  <c r="BP9" i="5"/>
  <c r="BO8" i="5"/>
  <c r="BP8" i="5" s="1"/>
  <c r="BP7" i="5"/>
  <c r="BO4" i="5"/>
  <c r="BP4" i="5" s="1"/>
  <c r="K46" i="4"/>
  <c r="BO46" i="5" s="1"/>
  <c r="BP46" i="5" s="1"/>
  <c r="K45" i="4"/>
  <c r="BO45" i="5" s="1"/>
  <c r="BP45" i="5" s="1"/>
  <c r="K44" i="4"/>
  <c r="K43" i="4"/>
  <c r="BO43" i="5" s="1"/>
  <c r="BP43" i="5" s="1"/>
  <c r="K42" i="4"/>
  <c r="BO42" i="5" s="1"/>
  <c r="BP42" i="5" s="1"/>
  <c r="K41" i="4"/>
  <c r="BO41" i="5" s="1"/>
  <c r="BP41" i="5" s="1"/>
  <c r="K40" i="4"/>
  <c r="K39" i="4"/>
  <c r="BO39" i="5" s="1"/>
  <c r="BP39" i="5" s="1"/>
  <c r="K38" i="4"/>
  <c r="BO38" i="5" s="1"/>
  <c r="BP38" i="5" s="1"/>
  <c r="K37" i="4"/>
  <c r="BO37" i="5" s="1"/>
  <c r="BP37" i="5" s="1"/>
  <c r="K36" i="4"/>
  <c r="K35" i="4"/>
  <c r="BO35" i="5" s="1"/>
  <c r="BP35" i="5" s="1"/>
  <c r="K34" i="4"/>
  <c r="BO34" i="5" s="1"/>
  <c r="BP34" i="5" s="1"/>
  <c r="K33" i="4"/>
  <c r="BO33" i="5" s="1"/>
  <c r="BP33" i="5" s="1"/>
  <c r="K32" i="4"/>
  <c r="K31" i="4"/>
  <c r="BO31" i="5" s="1"/>
  <c r="BP31" i="5" s="1"/>
  <c r="K30" i="4"/>
  <c r="BO30" i="5" s="1"/>
  <c r="BP30" i="5" s="1"/>
  <c r="K29" i="4"/>
  <c r="BO29" i="5" s="1"/>
  <c r="K28" i="4"/>
  <c r="K27" i="4"/>
  <c r="BO27" i="5" s="1"/>
  <c r="BP27" i="5" s="1"/>
  <c r="K26" i="4"/>
  <c r="BO26" i="5" s="1"/>
  <c r="K25" i="4"/>
  <c r="BO25" i="5" s="1"/>
  <c r="K24" i="4"/>
  <c r="K23" i="4"/>
  <c r="BO23" i="5" s="1"/>
  <c r="K22" i="4"/>
  <c r="BO22" i="5" s="1"/>
  <c r="K21" i="4"/>
  <c r="BO21" i="5" s="1"/>
  <c r="BP21" i="5" s="1"/>
  <c r="K20" i="4"/>
  <c r="K19" i="4"/>
  <c r="BO19" i="5" s="1"/>
  <c r="BP19" i="5" s="1"/>
  <c r="K18" i="4"/>
  <c r="BO18" i="5" s="1"/>
  <c r="BP18" i="5" s="1"/>
  <c r="K17" i="4"/>
  <c r="BO17" i="5" s="1"/>
  <c r="BP17" i="5" s="1"/>
  <c r="K16" i="4"/>
  <c r="K15" i="4"/>
  <c r="BO15" i="5" s="1"/>
  <c r="BP15" i="5" s="1"/>
  <c r="K14" i="4"/>
  <c r="BO14" i="5" s="1"/>
  <c r="BP14" i="5" s="1"/>
  <c r="K13" i="4"/>
  <c r="BO13" i="5" s="1"/>
  <c r="BP13" i="5" s="1"/>
  <c r="K12" i="4"/>
  <c r="K11" i="4"/>
  <c r="BO11" i="5" s="1"/>
  <c r="BP11" i="5" s="1"/>
  <c r="K10" i="4"/>
  <c r="BO10" i="5" s="1"/>
  <c r="BP10" i="5" s="1"/>
  <c r="K9" i="4"/>
  <c r="BO9" i="5" s="1"/>
  <c r="K8" i="4"/>
  <c r="K7" i="4"/>
  <c r="BO7" i="5" s="1"/>
  <c r="K6" i="4"/>
  <c r="BO6" i="5" s="1"/>
  <c r="BP6" i="5" s="1"/>
  <c r="K5" i="4"/>
  <c r="BO5" i="5" s="1"/>
  <c r="BP5" i="5" s="1"/>
  <c r="K4" i="4"/>
  <c r="K3" i="4"/>
  <c r="BO3" i="5" s="1"/>
  <c r="BP3" i="5" s="1"/>
  <c r="K2" i="4"/>
  <c r="BO2" i="5" s="1"/>
  <c r="C242" i="2"/>
  <c r="B242" i="2"/>
  <c r="C241" i="2"/>
  <c r="B241" i="2"/>
  <c r="C240" i="2"/>
  <c r="B240" i="2"/>
  <c r="C239" i="2"/>
  <c r="C243" i="2" s="1"/>
  <c r="B239" i="2"/>
  <c r="B243" i="2" s="1"/>
  <c r="C216" i="2"/>
  <c r="B216" i="2"/>
  <c r="C215" i="2"/>
  <c r="B215" i="2"/>
  <c r="C214" i="2"/>
  <c r="B214" i="2"/>
  <c r="C213" i="2"/>
  <c r="C217" i="2" s="1"/>
  <c r="B213" i="2"/>
  <c r="C212" i="2"/>
  <c r="B212" i="2"/>
  <c r="C207" i="2"/>
  <c r="B207" i="2"/>
  <c r="C206" i="2"/>
  <c r="B206" i="2"/>
  <c r="C205" i="2"/>
  <c r="B205" i="2"/>
  <c r="C204" i="2"/>
  <c r="B204" i="2"/>
  <c r="C203" i="2"/>
  <c r="B203" i="2"/>
  <c r="B208" i="2" s="1"/>
  <c r="C198" i="2"/>
  <c r="B198" i="2"/>
  <c r="C197" i="2"/>
  <c r="B197" i="2"/>
  <c r="C196" i="2"/>
  <c r="B196" i="2"/>
  <c r="C195" i="2"/>
  <c r="C199" i="2" s="1"/>
  <c r="B195" i="2"/>
  <c r="B199" i="2" s="1"/>
  <c r="C190" i="2"/>
  <c r="B190" i="2"/>
  <c r="C189" i="2"/>
  <c r="B189" i="2"/>
  <c r="C188" i="2"/>
  <c r="B188" i="2"/>
  <c r="C187" i="2"/>
  <c r="B187" i="2"/>
  <c r="B191" i="2" s="1"/>
  <c r="C186" i="2"/>
  <c r="B186" i="2"/>
  <c r="C181" i="2"/>
  <c r="B181" i="2"/>
  <c r="C180" i="2"/>
  <c r="B180" i="2"/>
  <c r="C179" i="2"/>
  <c r="B179" i="2"/>
  <c r="C178" i="2"/>
  <c r="B178" i="2"/>
  <c r="C177" i="2"/>
  <c r="B177" i="2"/>
  <c r="C176" i="2"/>
  <c r="B176" i="2"/>
  <c r="C175" i="2"/>
  <c r="B175" i="2"/>
  <c r="C170" i="2"/>
  <c r="B170" i="2"/>
  <c r="C169" i="2"/>
  <c r="B169" i="2"/>
  <c r="C168" i="2"/>
  <c r="B168" i="2"/>
  <c r="C167" i="2"/>
  <c r="B167" i="2"/>
  <c r="C166" i="2"/>
  <c r="B166" i="2"/>
  <c r="C165" i="2"/>
  <c r="B165" i="2"/>
  <c r="C164" i="2"/>
  <c r="B164" i="2"/>
  <c r="C163" i="2"/>
  <c r="B163" i="2"/>
  <c r="C162" i="2"/>
  <c r="B162" i="2"/>
  <c r="C161" i="2"/>
  <c r="B161" i="2"/>
  <c r="C156" i="2"/>
  <c r="B156" i="2"/>
  <c r="C155" i="2"/>
  <c r="B155" i="2"/>
  <c r="B157" i="2" s="1"/>
  <c r="C154" i="2"/>
  <c r="B154" i="2"/>
  <c r="C149" i="2"/>
  <c r="B149" i="2"/>
  <c r="C148" i="2"/>
  <c r="B148" i="2"/>
  <c r="C147" i="2"/>
  <c r="B147" i="2"/>
  <c r="C146" i="2"/>
  <c r="B146" i="2"/>
  <c r="C145" i="2"/>
  <c r="B145" i="2"/>
  <c r="C144" i="2"/>
  <c r="B144" i="2"/>
  <c r="C143" i="2"/>
  <c r="B143" i="2"/>
  <c r="C142" i="2"/>
  <c r="B142" i="2"/>
  <c r="C141" i="2"/>
  <c r="B141" i="2"/>
  <c r="C140" i="2"/>
  <c r="B140" i="2"/>
  <c r="C135" i="2"/>
  <c r="B135" i="2"/>
  <c r="C134" i="2"/>
  <c r="B134" i="2"/>
  <c r="C133" i="2"/>
  <c r="B133" i="2"/>
  <c r="C132" i="2"/>
  <c r="B132" i="2"/>
  <c r="C131" i="2"/>
  <c r="B131" i="2"/>
  <c r="C130" i="2"/>
  <c r="B130" i="2"/>
  <c r="C129" i="2"/>
  <c r="B129" i="2"/>
  <c r="B136" i="2" s="1"/>
  <c r="C124" i="2"/>
  <c r="B124" i="2"/>
  <c r="C123" i="2"/>
  <c r="B123" i="2"/>
  <c r="C122" i="2"/>
  <c r="B122" i="2"/>
  <c r="C121" i="2"/>
  <c r="B121" i="2"/>
  <c r="C120" i="2"/>
  <c r="B120" i="2"/>
  <c r="C119" i="2"/>
  <c r="B119" i="2"/>
  <c r="C118" i="2"/>
  <c r="B118" i="2"/>
  <c r="C117" i="2"/>
  <c r="B117" i="2"/>
  <c r="C116" i="2"/>
  <c r="B116" i="2"/>
  <c r="C115" i="2"/>
  <c r="B115" i="2"/>
  <c r="C114" i="2"/>
  <c r="B114" i="2"/>
  <c r="C109" i="2"/>
  <c r="B109" i="2"/>
  <c r="C108" i="2"/>
  <c r="B108" i="2"/>
  <c r="C107" i="2"/>
  <c r="B107" i="2"/>
  <c r="C106" i="2"/>
  <c r="B106" i="2"/>
  <c r="C105" i="2"/>
  <c r="B105" i="2"/>
  <c r="C104" i="2"/>
  <c r="B104" i="2"/>
  <c r="C103" i="2"/>
  <c r="B103" i="2"/>
  <c r="C102" i="2"/>
  <c r="B102" i="2"/>
  <c r="C101" i="2"/>
  <c r="B101" i="2"/>
  <c r="C100" i="2"/>
  <c r="B100" i="2"/>
  <c r="C99" i="2"/>
  <c r="B99" i="2"/>
  <c r="B110" i="2" s="1"/>
  <c r="C94" i="2"/>
  <c r="B94" i="2"/>
  <c r="C93" i="2"/>
  <c r="B93" i="2"/>
  <c r="C92" i="2"/>
  <c r="B92" i="2"/>
  <c r="C91" i="2"/>
  <c r="B91" i="2"/>
  <c r="C90" i="2"/>
  <c r="B90" i="2"/>
  <c r="C89" i="2"/>
  <c r="B89" i="2"/>
  <c r="C88" i="2"/>
  <c r="B88" i="2"/>
  <c r="C87" i="2"/>
  <c r="B87" i="2"/>
  <c r="C86" i="2"/>
  <c r="B86" i="2"/>
  <c r="C85" i="2"/>
  <c r="B85" i="2"/>
  <c r="C84" i="2"/>
  <c r="B84" i="2"/>
  <c r="C83" i="2"/>
  <c r="B83" i="2"/>
  <c r="C82" i="2"/>
  <c r="B82" i="2"/>
  <c r="C81" i="2"/>
  <c r="B81" i="2"/>
  <c r="C80" i="2"/>
  <c r="B80" i="2"/>
  <c r="C79" i="2"/>
  <c r="B79" i="2"/>
  <c r="C78" i="2"/>
  <c r="B78" i="2"/>
  <c r="C77" i="2"/>
  <c r="B77" i="2"/>
  <c r="C76" i="2"/>
  <c r="B76" i="2"/>
  <c r="C75" i="2"/>
  <c r="B75" i="2"/>
  <c r="C74" i="2"/>
  <c r="B74" i="2"/>
  <c r="C73" i="2"/>
  <c r="B73" i="2"/>
  <c r="C72" i="2"/>
  <c r="B72" i="2"/>
  <c r="C71" i="2"/>
  <c r="B71" i="2"/>
  <c r="B95" i="2" s="1"/>
  <c r="C66" i="2"/>
  <c r="B66" i="2"/>
  <c r="C65" i="2"/>
  <c r="B65" i="2"/>
  <c r="C64" i="2"/>
  <c r="B64" i="2"/>
  <c r="C63" i="2"/>
  <c r="B63" i="2"/>
  <c r="C62" i="2"/>
  <c r="B62" i="2"/>
  <c r="C61" i="2"/>
  <c r="B61" i="2"/>
  <c r="B67" i="2" s="1"/>
  <c r="H57" i="2"/>
  <c r="G57" i="2"/>
  <c r="F57" i="2"/>
  <c r="E57" i="2"/>
  <c r="D57" i="2"/>
  <c r="C57" i="2"/>
  <c r="B57" i="2"/>
  <c r="H56" i="2"/>
  <c r="G56" i="2"/>
  <c r="F56" i="2"/>
  <c r="E56" i="2"/>
  <c r="D56" i="2"/>
  <c r="C56" i="2"/>
  <c r="B56" i="2"/>
  <c r="H55" i="2"/>
  <c r="G55" i="2"/>
  <c r="F55" i="2"/>
  <c r="E55" i="2"/>
  <c r="D55" i="2"/>
  <c r="C55" i="2"/>
  <c r="B55" i="2"/>
  <c r="H54" i="2"/>
  <c r="G54" i="2"/>
  <c r="F54" i="2"/>
  <c r="E54" i="2"/>
  <c r="D54" i="2"/>
  <c r="C54" i="2"/>
  <c r="B54" i="2"/>
  <c r="H53" i="2"/>
  <c r="G53" i="2"/>
  <c r="F53" i="2"/>
  <c r="E53" i="2"/>
  <c r="D53" i="2"/>
  <c r="C53" i="2"/>
  <c r="B53" i="2"/>
  <c r="H52" i="2"/>
  <c r="G52" i="2"/>
  <c r="F52" i="2"/>
  <c r="E52" i="2"/>
  <c r="D52" i="2"/>
  <c r="C52" i="2"/>
  <c r="B52" i="2"/>
  <c r="H51" i="2"/>
  <c r="G51" i="2"/>
  <c r="F51" i="2"/>
  <c r="E51" i="2"/>
  <c r="D51" i="2"/>
  <c r="C51" i="2"/>
  <c r="B51" i="2"/>
  <c r="H50" i="2"/>
  <c r="G50" i="2"/>
  <c r="F50" i="2"/>
  <c r="E50" i="2"/>
  <c r="D50" i="2"/>
  <c r="C50" i="2"/>
  <c r="B50" i="2"/>
  <c r="H46" i="2"/>
  <c r="G46" i="2"/>
  <c r="F46" i="2"/>
  <c r="E46" i="2"/>
  <c r="D46" i="2"/>
  <c r="C46" i="2"/>
  <c r="B46" i="2"/>
  <c r="H45" i="2"/>
  <c r="G45" i="2"/>
  <c r="F45" i="2"/>
  <c r="E45" i="2"/>
  <c r="D45" i="2"/>
  <c r="C45" i="2"/>
  <c r="B45" i="2"/>
  <c r="H44" i="2"/>
  <c r="G44" i="2"/>
  <c r="F44" i="2"/>
  <c r="E44" i="2"/>
  <c r="D44" i="2"/>
  <c r="C44" i="2"/>
  <c r="B44" i="2"/>
  <c r="H43" i="2"/>
  <c r="G43" i="2"/>
  <c r="F43" i="2"/>
  <c r="E43" i="2"/>
  <c r="D43" i="2"/>
  <c r="C43" i="2"/>
  <c r="B43" i="2"/>
  <c r="H42" i="2"/>
  <c r="G42" i="2"/>
  <c r="F42" i="2"/>
  <c r="E42" i="2"/>
  <c r="D42" i="2"/>
  <c r="C42" i="2"/>
  <c r="B42" i="2"/>
  <c r="H38" i="2"/>
  <c r="G38" i="2"/>
  <c r="F38" i="2"/>
  <c r="E38" i="2"/>
  <c r="D38" i="2"/>
  <c r="C38" i="2"/>
  <c r="B38" i="2"/>
  <c r="H37" i="2"/>
  <c r="G37" i="2"/>
  <c r="F37" i="2"/>
  <c r="E37" i="2"/>
  <c r="D37" i="2"/>
  <c r="C37" i="2"/>
  <c r="B37" i="2"/>
  <c r="H36" i="2"/>
  <c r="G36" i="2"/>
  <c r="F36" i="2"/>
  <c r="E36" i="2"/>
  <c r="D36" i="2"/>
  <c r="C36" i="2"/>
  <c r="B36" i="2"/>
  <c r="H35" i="2"/>
  <c r="G35" i="2"/>
  <c r="F35" i="2"/>
  <c r="E35" i="2"/>
  <c r="D35" i="2"/>
  <c r="C35" i="2"/>
  <c r="B35" i="2"/>
  <c r="H34" i="2"/>
  <c r="G34" i="2"/>
  <c r="F34" i="2"/>
  <c r="E34" i="2"/>
  <c r="D34" i="2"/>
  <c r="C34" i="2"/>
  <c r="B34" i="2"/>
  <c r="H33" i="2"/>
  <c r="G33" i="2"/>
  <c r="F33" i="2"/>
  <c r="E33" i="2"/>
  <c r="D33" i="2"/>
  <c r="C33" i="2"/>
  <c r="B33" i="2"/>
  <c r="H32" i="2"/>
  <c r="G32" i="2"/>
  <c r="F32" i="2"/>
  <c r="E32" i="2"/>
  <c r="D32" i="2"/>
  <c r="C32" i="2"/>
  <c r="B32" i="2"/>
  <c r="H31" i="2"/>
  <c r="G31" i="2"/>
  <c r="F31" i="2"/>
  <c r="E31" i="2"/>
  <c r="D31" i="2"/>
  <c r="C31" i="2"/>
  <c r="B31" i="2"/>
  <c r="F27" i="2"/>
  <c r="E27" i="2"/>
  <c r="D27" i="2"/>
  <c r="C27" i="2"/>
  <c r="B27" i="2"/>
  <c r="F26" i="2"/>
  <c r="E26" i="2"/>
  <c r="D26" i="2"/>
  <c r="C26" i="2"/>
  <c r="B26" i="2"/>
  <c r="F25" i="2"/>
  <c r="E25" i="2"/>
  <c r="D25" i="2"/>
  <c r="C25" i="2"/>
  <c r="B25" i="2"/>
  <c r="F21" i="2"/>
  <c r="E21" i="2"/>
  <c r="D21" i="2"/>
  <c r="C21" i="2"/>
  <c r="B21" i="2"/>
  <c r="F20" i="2"/>
  <c r="E20" i="2"/>
  <c r="D20" i="2"/>
  <c r="C20" i="2"/>
  <c r="B20" i="2"/>
  <c r="F19" i="2"/>
  <c r="E19" i="2"/>
  <c r="D19" i="2"/>
  <c r="C19" i="2"/>
  <c r="B19" i="2"/>
  <c r="B15" i="2"/>
  <c r="B14" i="2"/>
  <c r="B13" i="2"/>
  <c r="B12" i="2"/>
  <c r="B11" i="2"/>
  <c r="B10" i="2"/>
  <c r="B9" i="2"/>
  <c r="B7" i="2"/>
  <c r="B6" i="2"/>
  <c r="B8" i="2" s="1"/>
  <c r="C110" i="2" l="1"/>
  <c r="C136" i="2"/>
  <c r="C150" i="2"/>
  <c r="C157" i="2"/>
  <c r="C191" i="2"/>
  <c r="G21" i="2"/>
  <c r="H21" i="2" s="1"/>
  <c r="C67" i="2"/>
  <c r="C95" i="2"/>
  <c r="C125" i="2"/>
  <c r="C182" i="2"/>
  <c r="G20" i="2"/>
  <c r="H20" i="2" s="1"/>
  <c r="B125" i="2"/>
  <c r="B150" i="2"/>
  <c r="B182" i="2"/>
  <c r="B217" i="2"/>
  <c r="G25" i="2"/>
  <c r="H25" i="2" s="1"/>
  <c r="G19" i="2"/>
  <c r="H19" i="2" s="1"/>
  <c r="G26" i="2"/>
  <c r="H26" i="2" s="1"/>
  <c r="C208" i="2"/>
  <c r="G27" i="2"/>
  <c r="H27" i="2" s="1"/>
  <c r="BP2" i="5"/>
  <c r="B226" i="2"/>
  <c r="B224" i="2"/>
  <c r="B222" i="2"/>
  <c r="B227" i="2" a="1"/>
  <c r="B227" i="2" s="1"/>
  <c r="C225" i="2"/>
  <c r="C223" i="2"/>
  <c r="C221" i="2"/>
  <c r="B225" i="2"/>
  <c r="B223" i="2"/>
  <c r="B221" i="2"/>
  <c r="C226" i="2"/>
  <c r="C224" i="2"/>
  <c r="C222" i="2"/>
  <c r="I26" i="2"/>
  <c r="I25" i="2"/>
  <c r="I19" i="2"/>
  <c r="I20" i="2"/>
  <c r="I27" i="2"/>
  <c r="I21" i="2"/>
  <c r="B234" i="2" l="1"/>
  <c r="B232" i="2"/>
  <c r="C233" i="2"/>
  <c r="B233" i="2"/>
  <c r="C234" i="2"/>
  <c r="C232" i="2"/>
  <c r="B235" i="2" l="1"/>
  <c r="C23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R1" authorId="0" shapeId="0" xr:uid="{00000000-0006-0000-0400-000001000000}">
      <text>
        <r>
          <rPr>
            <sz val="10"/>
            <rFont val="Arial"/>
            <family val="2"/>
          </rPr>
          <t>Country where the learners were studied (not author affiliation). Multi-country → list all.</t>
        </r>
      </text>
    </comment>
    <comment ref="AS1" authorId="0" shapeId="0" xr:uid="{00000000-0006-0000-0400-000002000000}">
      <text>
        <r>
          <rPr>
            <sz val="10"/>
            <rFont val="Arial"/>
            <family val="2"/>
          </rPr>
          <t>Continent derived from country: Africa / Asia / Europe / North America / South America / Oceania / Multi-country.</t>
        </r>
      </text>
    </comment>
    <comment ref="AT1" authorId="0" shapeId="0" xr:uid="{00000000-0006-0000-0400-000003000000}">
      <text>
        <r>
          <rPr>
            <sz val="10"/>
            <rFont val="Arial"/>
            <family val="2"/>
          </rPr>
          <t>Pre-primary / Primary / Lower secondary / Upper secondary / Secondary (unspecified) / Mixed K-12 / Mixed (school-age + adults) / Higher education / Mixed (secondary + post-secondary) / Informal / general public / Not reported.</t>
        </r>
      </text>
    </comment>
    <comment ref="AU1" authorId="0" shapeId="0" xr:uid="{00000000-0006-0000-0400-000004000000}">
      <text>
        <r>
          <rPr>
            <sz val="10"/>
            <rFont val="Arial"/>
            <family val="2"/>
          </rPr>
          <t>Who provided the data: typical learners, SEN learners (state condition), teachers as evaluators, general public.</t>
        </r>
      </text>
    </comment>
    <comment ref="AV1" authorId="0" shapeId="0" xr:uid="{00000000-0006-0000-0400-000005000000}">
      <text>
        <r>
          <rPr>
            <sz val="10"/>
            <rFont val="Arial"/>
            <family val="2"/>
          </rPr>
          <t>Broad field of education &amp; training (UNESCO ISCED-F 2013). "Generic / multi-subject" for cross-curricular or life-skills content.</t>
        </r>
      </text>
    </comment>
    <comment ref="AW1" authorId="0" shapeId="0" xr:uid="{00000000-0006-0000-0400-000006000000}">
      <text>
        <r>
          <rPr>
            <sz val="10"/>
            <rFont val="Arial"/>
            <family val="2"/>
          </rPr>
          <t>Specific topic as reported by the study.</t>
        </r>
      </text>
    </comment>
    <comment ref="AX1" authorId="0" shapeId="0" xr:uid="{00000000-0006-0000-0400-000007000000}">
      <text>
        <r>
          <rPr>
            <sz val="10"/>
            <rFont val="Arial"/>
            <family val="2"/>
          </rPr>
          <t>VR / AR / MR / VR + AR / VR (360°) / non-immersive variants. Record what learners actually used.</t>
        </r>
      </text>
    </comment>
    <comment ref="AY1" authorId="0" shapeId="0" xr:uid="{00000000-0006-0000-0400-000008000000}">
      <text>
        <r>
          <rPr>
            <sz val="10"/>
            <rFont val="Arial"/>
            <family val="2"/>
          </rPr>
          <t>HMD (immersive) / Handheld (mobile/tablet) / Desktop / CAVE or projection / Web-based / None (mock-up) / Not reported. Used as the device-type moderator for RQ6.</t>
        </r>
      </text>
    </comment>
    <comment ref="AZ1" authorId="0" shapeId="0" xr:uid="{00000000-0006-0000-0400-000009000000}">
      <text>
        <r>
          <rPr>
            <sz val="10"/>
            <rFont val="Arial"/>
            <family val="2"/>
          </rPr>
          <t>Hardware/platform as reported.</t>
        </r>
      </text>
    </comment>
    <comment ref="BA1" authorId="0" shapeId="0" xr:uid="{00000000-0006-0000-0400-00000A000000}">
      <text>
        <r>
          <rPr>
            <sz val="10"/>
            <rFont val="Arial"/>
            <family val="2"/>
          </rPr>
          <t>None / Traditional teaching / Non-immersive digital / Other XR / Traditional + non-immersive.</t>
        </r>
      </text>
    </comment>
    <comment ref="BB1" authorId="0" shapeId="0" xr:uid="{00000000-0006-0000-0400-00000B000000}">
      <text>
        <r>
          <rPr>
            <sz val="10"/>
            <rFont val="Arial"/>
            <family val="2"/>
          </rPr>
          <t>+ positive / 0 no difference / − negative / Mixed / Unclear (measured but direction not reported) / Not measured. Engagement = behavioural, cognitive or emotional involvement (participation, attention, flow, concentration, active discussion).</t>
        </r>
      </text>
    </comment>
    <comment ref="BC1" authorId="0" shapeId="0" xr:uid="{00000000-0006-0000-0400-00000C000000}">
      <text>
        <r>
          <rPr>
            <sz val="10"/>
            <rFont val="Arial"/>
            <family val="2"/>
          </rPr>
          <t>+ / 0 / − / Mixed / Unclear / Not measured. Motivation = interest, curiosity, enjoyment, intrinsic motivation, ARCS attention/relevance/confidence, intention to learn.</t>
        </r>
      </text>
    </comment>
    <comment ref="BD1" authorId="0" shapeId="0" xr:uid="{00000000-0006-0000-0400-00000D000000}">
      <text>
        <r>
          <rPr>
            <sz val="10"/>
            <rFont val="Arial"/>
            <family val="2"/>
          </rPr>
          <t>+ / 0 / − / Mixed / Not measured. Satisfaction = satisfaction with the learning experience or system, UX attractiveness, preference, willingness to reuse/recommend. Pure usability (e.g., SUS alone) goes in "Other outcomes", not here.</t>
        </r>
      </text>
    </comment>
    <comment ref="BE1" authorId="0" shapeId="0" xr:uid="{00000000-0006-0000-0400-00000E000000}">
      <text>
        <r>
          <rPr>
            <sz val="10"/>
            <rFont val="Arial"/>
            <family val="2"/>
          </rPr>
          <t>Learning, usability, presence, cognitive load, key numbers.</t>
        </r>
      </text>
    </comment>
    <comment ref="BF1" authorId="0" shapeId="0" xr:uid="{00000000-0006-0000-0400-00000F000000}">
      <text>
        <r>
          <rPr>
            <sz val="10"/>
            <rFont val="Arial"/>
            <family val="2"/>
          </rPr>
          <t>Inferential with effect size / Inferential, no effect size / Descriptive only / Qualitative only / No empirical data.</t>
        </r>
      </text>
    </comment>
    <comment ref="BG1" authorId="0" shapeId="0" xr:uid="{00000000-0006-0000-0400-000010000000}">
      <text>
        <r>
          <rPr>
            <sz val="10"/>
            <rFont val="Arial"/>
            <family val="2"/>
          </rPr>
          <t>Value + metric + outcome (e.g., "d = 0.62, motivation"). "Not reported" if absent.</t>
        </r>
      </text>
    </comment>
    <comment ref="BH1" authorId="0" shapeId="0" xr:uid="{00000000-0006-0000-0400-000011000000}">
      <text>
        <r>
          <rPr>
            <sz val="10"/>
            <rFont val="Arial"/>
            <family val="2"/>
          </rPr>
          <t>Name of each measure used for engagement/motivation/satisfaction.</t>
        </r>
      </text>
    </comment>
    <comment ref="BI1" authorId="0" shapeId="0" xr:uid="{00000000-0006-0000-0400-000012000000}">
      <text>
        <r>
          <rPr>
            <sz val="10"/>
            <rFont val="Arial"/>
            <family val="2"/>
          </rPr>
          <t>Yes (established validated scale) / Adapted (validated scale modified) / Partly (author-made with reliability/validity reported) / No (author-made, no psychometrics) / N/A.</t>
        </r>
      </text>
    </comment>
    <comment ref="BJ1" authorId="0" shapeId="0" xr:uid="{00000000-0006-0000-0400-000013000000}">
      <text>
        <r>
          <rPr>
            <sz val="10"/>
            <rFont val="Arial"/>
            <family val="2"/>
          </rPr>
          <t>RCT / Quasi-experimental with control / Non-randomised with historical control / Within-subject comparison / Single-group pre–post / Single-group post-test only / Cross-sectional survey / Mixed methods / Qualitative / Case study / Design-based research / Design/development only / Practice report.</t>
        </r>
      </text>
    </comment>
    <comment ref="BK1" authorId="0" shapeId="0" xr:uid="{00000000-0006-0000-0400-000014000000}">
      <text>
        <r>
          <rPr>
            <sz val="10"/>
            <rFont val="Arial"/>
            <family val="2"/>
          </rPr>
          <t>Grouped design used for synthesis: single group post-test only / single group pre–post / single group mixed methods or DBR / within-subject comparison / between-group comparison (non-randomised) / cross-sectional survey / qualitative / no empirical learner study.</t>
        </r>
      </text>
    </comment>
    <comment ref="BL1" authorId="0" shapeId="0" xr:uid="{00000000-0006-0000-0400-000015000000}">
      <text>
        <r>
          <rPr>
            <sz val="10"/>
            <rFont val="Arial"/>
            <family val="2"/>
          </rPr>
          <t>MMAT 2018 (Hong et al.) study category used for appraisal: Qualitative / Quantitative RCT / Quantitative non-randomised / Quantitative descriptive / Mixed methods / Not appraisable (no empirical learner study).</t>
        </r>
      </text>
    </comment>
    <comment ref="BM1" authorId="0" shapeId="0" xr:uid="{00000000-0006-0000-0400-000016000000}">
      <text>
        <r>
          <rPr>
            <sz val="10"/>
            <rFont val="Arial"/>
            <family val="2"/>
          </rPr>
          <t>Total N; add per-group N when groups exist.</t>
        </r>
      </text>
    </comment>
    <comment ref="BN1" authorId="0" shapeId="0" xr:uid="{00000000-0006-0000-0400-000017000000}">
      <text>
        <r>
          <rPr>
            <sz val="10"/>
            <rFont val="Arial"/>
            <family val="2"/>
          </rPr>
          <t>Length and number of XR sessions learners received (e.g., "Single session, 15–20 min"). From full text.</t>
        </r>
      </text>
    </comment>
    <comment ref="BO1" authorId="0" shapeId="0" xr:uid="{00000000-0006-0000-0400-000018000000}">
      <text>
        <r>
          <rPr>
            <sz val="10"/>
            <rFont val="Arial"/>
            <family val="2"/>
          </rPr>
          <t>Formula: number of the 5 MMAT criteria rated "Yes" on the MMAT Appraisal sheet. Blank = not yet appraised. The MMAT authors discourage using a single score on its own, so item ratings are kept on the appraisal sheet.</t>
        </r>
      </text>
    </comment>
    <comment ref="BP1" authorId="0" shapeId="0" xr:uid="{00000000-0006-0000-0400-000019000000}">
      <text>
        <r>
          <rPr>
            <sz val="10"/>
            <rFont val="Arial"/>
            <family val="2"/>
          </rPr>
          <t>Formula. High = RCT/quasi-experimental with control + inferential stats + validated/partly validated instrument + MMAT ≥ 4 (or not yet scored). Low = MMAT ≤ 2, or no comparison and no inferential stats. Moderate = everything else. Not rated = no empirical data or retracted. Provisional until MMAT is scored.</t>
        </r>
      </text>
    </comment>
    <comment ref="BQ1" authorId="0" shapeId="0" xr:uid="{00000000-0006-0000-0400-00001A000000}">
      <text>
        <r>
          <rPr>
            <sz val="10"/>
            <rFont val="Arial"/>
            <family val="2"/>
          </rPr>
          <t>Cybersickness, discomfort, cognitive overload, usability problems, cost; "Not reported" if absent.</t>
        </r>
      </text>
    </comment>
    <comment ref="BR1" authorId="0" shapeId="0" xr:uid="{00000000-0006-0000-0400-00001B000000}">
      <text>
        <r>
          <rPr>
            <sz val="10"/>
            <rFont val="Arial"/>
            <family val="2"/>
          </rPr>
          <t>Cybersickness / physical discomfort reported / usability, behavioural or safety issues only / explicitly none observed / not reported.</t>
        </r>
      </text>
    </comment>
    <comment ref="BS1" authorId="0" shapeId="0" xr:uid="{00000000-0006-0000-0400-00001C000000}">
      <text>
        <r>
          <rPr>
            <sz val="10"/>
            <rFont val="Arial"/>
            <family val="2"/>
          </rPr>
          <t>Core = basic-education learners with empirical engagement/motivation/satisfaction data (primary RQ6/RQ7 synthesis). Sensitivity = empirical study but population outside basic education (adults, university, unknown) – reported separately. Excluded = E1 retracted; E2 no learner data; E3 no E/M/S outcome measured; E4 teacher-only data; E5 no real XR exposure.</t>
        </r>
      </text>
    </comment>
    <comment ref="BT1" authorId="0" shapeId="0" xr:uid="{00000000-0006-0000-0400-00001D000000}">
      <text>
        <r>
          <rPr>
            <sz val="10"/>
            <rFont val="Arial"/>
            <family val="2"/>
          </rPr>
          <t>Reason for Sensitivity or Excluded assignment (exclusion code E1–E5).</t>
        </r>
      </text>
    </comment>
    <comment ref="BU1" authorId="0" shapeId="0" xr:uid="{00000000-0006-0000-0400-00001E000000}">
      <text>
        <r>
          <rPr>
            <sz val="10"/>
            <rFont val="Arial"/>
            <family val="2"/>
          </rPr>
          <t>Pre-filled (abstract + RQ1–4 notes) → Verified (full text).</t>
        </r>
      </text>
    </comment>
    <comment ref="BV1" authorId="0" shapeId="0" xr:uid="{00000000-0006-0000-0400-00001F000000}">
      <text>
        <r>
          <rPr>
            <sz val="10"/>
            <rFont val="Arial"/>
            <family val="2"/>
          </rPr>
          <t>Open issues for the full-text pass.</t>
        </r>
      </text>
    </comment>
  </commentList>
</comments>
</file>

<file path=xl/sharedStrings.xml><?xml version="1.0" encoding="utf-8"?>
<sst xmlns="http://schemas.openxmlformats.org/spreadsheetml/2006/main" count="4043" uniqueCount="1916">
  <si>
    <t>XR systematic mapping – extraction codebook for RQ5–RQ7</t>
  </si>
  <si>
    <t>Research questions</t>
  </si>
  <si>
    <t>RQ5. In which education levels, subject areas and countries/regions have XR studies on engagement, motivation and satisfaction been conducted?</t>
  </si>
  <si>
    <t>RQ6. What is the direction, strength and consistency of reported XR effects on learner engagement, motivation and satisfaction, and do they differ by education level, subject area and device type?</t>
  </si>
  <si>
    <t>RQ7. What is the methodological quality and design rigor of the included studies?</t>
  </si>
  <si>
    <t>How RQ6 is answered: each study is coded + / 0 / − / Mixed per outcome ("direction"); strength = statistical support, effect size and rigor of the studies behind each direction; consistency = share of measuring studies that agree, computed across studies on the Evidence Map sheet (not coded per paper).</t>
  </si>
  <si>
    <t>Quality appraisal: Mixed Methods Appraisal Tool (MMAT) 2018, Hong QN et al. Two screening questions, then 5 category-specific criteria; score = number met (0–5).</t>
  </si>
  <si>
    <t>MMAT item ratings are entered on the "MMAT Appraisal" sheet; the MMAT score and "Overall rigor" in Sheet1 update automatically. For mixed-methods studies the component that provides the RQ6 evidence is appraised. Where a construct fits more than one outcome, the code follows the definitions below (e.g., SAM emotional valence = emotional engagement; enjoyment/interest = motivation; satisfaction/preference/reuse = satisfaction).</t>
  </si>
  <si>
    <t>RQ</t>
  </si>
  <si>
    <t>Column in Sheet1</t>
  </si>
  <si>
    <t>Definition / allowed values</t>
  </si>
  <si>
    <t>RQ5</t>
  </si>
  <si>
    <t>AR: Country (study site)</t>
  </si>
  <si>
    <t>Country where the learners were studied (not author affiliation). Multi-country → list all.</t>
  </si>
  <si>
    <t>AS: Region</t>
  </si>
  <si>
    <t>Continent derived from country: Africa / Asia / Europe / North America / South America / Oceania / Multi-country.</t>
  </si>
  <si>
    <t>AT: Education level (ISCED 2011)</t>
  </si>
  <si>
    <t>Pre-primary / Primary / Lower secondary / Upper secondary / Secondary (unspecified) / Mixed K-12 / Mixed (school-age + adults) / Higher education / Mixed (secondary + post-secondary) / Informal / general public / Not reported.</t>
  </si>
  <si>
    <t>AU: Learner population</t>
  </si>
  <si>
    <t>Who provided the data: typical learners, SEN learners (state condition), teachers as evaluators, general public.</t>
  </si>
  <si>
    <t>AV: Subject area (ISCED-F 2013 broad field)</t>
  </si>
  <si>
    <t>Broad field of education &amp; training (UNESCO ISCED-F 2013). "Generic / multi-subject" for cross-curricular or life-skills content.</t>
  </si>
  <si>
    <t>AW: Subject (specific)</t>
  </si>
  <si>
    <t>Specific topic as reported by the study.</t>
  </si>
  <si>
    <t>RQ6</t>
  </si>
  <si>
    <t>AX: XR type</t>
  </si>
  <si>
    <t>VR / AR / MR / VR + AR / VR (360°) / non-immersive variants. Record what learners actually used.</t>
  </si>
  <si>
    <t>AY: Device category</t>
  </si>
  <si>
    <t>HMD (immersive) / Handheld (mobile/tablet) / Desktop / CAVE or projection / Web-based / None (mock-up) / Not reported. Used as the device-type moderator for RQ6.</t>
  </si>
  <si>
    <t>AZ: Device (specific)</t>
  </si>
  <si>
    <t>Hardware/platform as reported.</t>
  </si>
  <si>
    <t>BA: Comparison condition</t>
  </si>
  <si>
    <t>None / Traditional teaching / Non-immersive digital / Other XR / Traditional + non-immersive.</t>
  </si>
  <si>
    <t>BB: Engagement effect</t>
  </si>
  <si>
    <t>+ positive / 0 no difference / − negative / Mixed / Unclear (measured but direction not reported) / Not measured. Engagement = behavioural, cognitive or emotional involvement (participation, attention, flow, concentration, active discussion).</t>
  </si>
  <si>
    <t>BC: Motivation effect</t>
  </si>
  <si>
    <t>+ / 0 / − / Mixed / Unclear / Not measured. Motivation = interest, curiosity, enjoyment, intrinsic motivation, ARCS attention/relevance/confidence, intention to learn.</t>
  </si>
  <si>
    <t>BD: Satisfaction effect</t>
  </si>
  <si>
    <t>+ / 0 / − / Mixed / Not measured. Satisfaction = satisfaction with the learning experience or system, UX attractiveness, preference, willingness to reuse/recommend. Pure usability (e.g., SUS alone) goes in "Other outcomes", not here.</t>
  </si>
  <si>
    <t>BE: Other reported outcomes</t>
  </si>
  <si>
    <t>Learning, usability, presence, cognitive load, key numbers.</t>
  </si>
  <si>
    <t>BF: Statistical support</t>
  </si>
  <si>
    <t>Inferential with effect size / Inferential, no effect size / Descriptive only / Qualitative only / No empirical data.</t>
  </si>
  <si>
    <t>BG: Effect size</t>
  </si>
  <si>
    <t>Value + metric + outcome (e.g., "d = 0.62, motivation"). "Not reported" if absent.</t>
  </si>
  <si>
    <t>BH: Instrument(s)</t>
  </si>
  <si>
    <t>Name of each measure used for engagement/motivation/satisfaction.</t>
  </si>
  <si>
    <t>BI: Instrument validated?</t>
  </si>
  <si>
    <t>Yes (established validated scale) / Adapted (validated scale modified) / Partly (author-made with reliability/validity reported) / No (author-made, no psychometrics) / N/A.</t>
  </si>
  <si>
    <t>RQ7</t>
  </si>
  <si>
    <t>BJ: Study design</t>
  </si>
  <si>
    <t>RCT / Quasi-experimental with control / Non-randomised with historical control / Within-subject comparison / Single-group pre–post / Single-group post-test only / Cross-sectional survey / Mixed methods / Qualitative / Case study / Design-based research / Design/development only / Practice report.</t>
  </si>
  <si>
    <t>BK: Design class</t>
  </si>
  <si>
    <t>Grouped design used for synthesis: single group post-test only / single group pre–post / single group mixed methods or DBR / within-subject comparison / between-group comparison (non-randomised) / cross-sectional survey / qualitative / no empirical learner study.</t>
  </si>
  <si>
    <t>BL: MMAT category</t>
  </si>
  <si>
    <t>MMAT 2018 (Hong et al.) study category used for appraisal: Qualitative / Quantitative RCT / Quantitative non-randomised / Quantitative descriptive / Mixed methods / Not appraisable (no empirical learner study).</t>
  </si>
  <si>
    <t>BM: Sample size (N)</t>
  </si>
  <si>
    <t>Total N; add per-group N when groups exist.</t>
  </si>
  <si>
    <t>BN: Exposure (duration)</t>
  </si>
  <si>
    <t>Length and number of XR sessions learners received (e.g., "Single session, 15–20 min"). From full text.</t>
  </si>
  <si>
    <t>BO: MMAT score (0–5)</t>
  </si>
  <si>
    <t>Formula: number of the 5 MMAT criteria rated "Yes" on the MMAT Appraisal sheet. Blank = not yet appraised. The MMAT authors discourage using a single score on its own, so item ratings are kept on the appraisal sheet.</t>
  </si>
  <si>
    <t>BP: Overall rigor (auto)</t>
  </si>
  <si>
    <t>Formula. High = RCT/quasi-experimental with control + inferential stats + validated/partly validated instrument + MMAT ≥ 4 (or not yet scored). Low = MMAT ≤ 2, or no comparison and no inferential stats. Moderate = everything else. Not rated = no empirical data or retracted. Provisional until MMAT is scored.</t>
  </si>
  <si>
    <t>BQ: Adverse effects / limitations reported</t>
  </si>
  <si>
    <t>Cybersickness, discomfort, cognitive overload, usability problems, cost; "Not reported" if absent.</t>
  </si>
  <si>
    <t>BR: Adverse-effect reporting</t>
  </si>
  <si>
    <t>Cybersickness / physical discomfort reported / usability, behavioural or safety issues only / explicitly none observed / not reported.</t>
  </si>
  <si>
    <t>Admin</t>
  </si>
  <si>
    <t>BS: Synthesis set</t>
  </si>
  <si>
    <t>Core = basic-education learners with empirical engagement/motivation/satisfaction data (primary RQ6/RQ7 synthesis). Sensitivity = empirical study but population outside basic education (adults, university, unknown) – reported separately. Excluded = E1 retracted; E2 no learner data; E3 no E/M/S outcome measured; E4 teacher-only data; E5 no real XR exposure.</t>
  </si>
  <si>
    <t>BT: Eligibility reason</t>
  </si>
  <si>
    <t>Reason for Sensitivity or Excluded assignment (exclusion code E1–E5).</t>
  </si>
  <si>
    <t>BU: Extraction status</t>
  </si>
  <si>
    <t>Pre-filled (abstract + RQ1–4 notes) → Verified (full text).</t>
  </si>
  <si>
    <t>BV: Verification flags</t>
  </si>
  <si>
    <t>Open issues for the full-text pass.</t>
  </si>
  <si>
    <t>Evidence map – every count is a live formula on Sheet1</t>
  </si>
  <si>
    <t>Sets: Mapping corpus = all studies except retracted (E1). Empirical = Core + Sensitivity. Core = basic-education learners with E/M/S data (primary synthesis).</t>
  </si>
  <si>
    <t>Table 0. Eligibility flow for RQ5–RQ7</t>
  </si>
  <si>
    <t>Set</t>
  </si>
  <si>
    <t>Studies</t>
  </si>
  <si>
    <t>Mapping corpus (RQ1–RQ4 published set)</t>
  </si>
  <si>
    <t>Excluded – E1 retracted</t>
  </si>
  <si>
    <t>Mapping corpus used for RQ5</t>
  </si>
  <si>
    <t>Excluded – E2 no learner data</t>
  </si>
  <si>
    <t>Excluded – E3 no E/M/S outcome measured</t>
  </si>
  <si>
    <t>Excluded – E4 teacher-only data</t>
  </si>
  <si>
    <t>Excluded – E5 no real XR exposure</t>
  </si>
  <si>
    <t>Empirical studies (RQ7 appraisal)</t>
  </si>
  <si>
    <t xml:space="preserve">  Sensitivity (outside basic education)</t>
  </si>
  <si>
    <t xml:space="preserve">  Core synthesis set (RQ6)</t>
  </si>
  <si>
    <t>Table 6a. RQ6 – Direction and consistency of effects, CORE set (basic education)</t>
  </si>
  <si>
    <t>Outcome</t>
  </si>
  <si>
    <t>+</t>
  </si>
  <si>
    <t>Mixed</t>
  </si>
  <si>
    <t>Unclear</t>
  </si>
  <si>
    <t>0</t>
  </si>
  <si>
    <t>−</t>
  </si>
  <si>
    <t>Studies measuring</t>
  </si>
  <si>
    <t>% positive (consistency)</t>
  </si>
  <si>
    <t>+ from Moderate/High-rigor</t>
  </si>
  <si>
    <t>Engagement</t>
  </si>
  <si>
    <t>Motivation</t>
  </si>
  <si>
    <t>Satisfaction</t>
  </si>
  <si>
    <t>Table 6b. RQ6 – Direction and consistency, ALL empirical studies (Core + Sensitivity)</t>
  </si>
  <si>
    <t>RQ6 (Core set). Effects by education level   [positive / measured]</t>
  </si>
  <si>
    <t>education level</t>
  </si>
  <si>
    <t>Core studies</t>
  </si>
  <si>
    <t>Engagement +</t>
  </si>
  <si>
    <t>Engagement measured</t>
  </si>
  <si>
    <t>Motivation +</t>
  </si>
  <si>
    <t>Motivation measured</t>
  </si>
  <si>
    <t>Satisfaction +</t>
  </si>
  <si>
    <t>Satisfaction measured</t>
  </si>
  <si>
    <t>Primary</t>
  </si>
  <si>
    <t>Lower secondary</t>
  </si>
  <si>
    <t>Upper secondary</t>
  </si>
  <si>
    <t>Secondary (unspecified)</t>
  </si>
  <si>
    <t>Mixed K-12</t>
  </si>
  <si>
    <t>Mixed (school-age + adults)</t>
  </si>
  <si>
    <t>Mixed (secondary + post-secondary)</t>
  </si>
  <si>
    <t>Not reported</t>
  </si>
  <si>
    <t>RQ6 (Core set). Effects by device category   [positive / measured]</t>
  </si>
  <si>
    <t>device category</t>
  </si>
  <si>
    <t>HMD (immersive)</t>
  </si>
  <si>
    <t>Handheld (mobile/tablet)</t>
  </si>
  <si>
    <t>Desktop</t>
  </si>
  <si>
    <t>CAVE / projection</t>
  </si>
  <si>
    <t>Web-based</t>
  </si>
  <si>
    <t>RQ6 (Core set). Effects by subject area (ISCED-F)   [positive / measured]</t>
  </si>
  <si>
    <t>subject area (ISCED-F)</t>
  </si>
  <si>
    <t>Arts &amp; humanities (history/heritage)</t>
  </si>
  <si>
    <t>Arts &amp; humanities (languages)</t>
  </si>
  <si>
    <t>Arts &amp; humanities (religion)</t>
  </si>
  <si>
    <t>Generic / multi-subject</t>
  </si>
  <si>
    <t>Generic programmes (literacy)</t>
  </si>
  <si>
    <t>ICT</t>
  </si>
  <si>
    <t>Natural sciences, mathematics &amp; statistics</t>
  </si>
  <si>
    <t>Social sciences, journalism &amp; information</t>
  </si>
  <si>
    <t>Table 5a. RQ5 – Studies by region</t>
  </si>
  <si>
    <t>Category</t>
  </si>
  <si>
    <t>Mapping corpus (n = 44)</t>
  </si>
  <si>
    <t>Core set (n = 21)</t>
  </si>
  <si>
    <t>Asia</t>
  </si>
  <si>
    <t>Europe</t>
  </si>
  <si>
    <t>North America</t>
  </si>
  <si>
    <t>South America</t>
  </si>
  <si>
    <t>Africa</t>
  </si>
  <si>
    <t>Oceania</t>
  </si>
  <si>
    <t>Total</t>
  </si>
  <si>
    <t>Table 5b. RQ5 – Studies by country</t>
  </si>
  <si>
    <t>USA</t>
  </si>
  <si>
    <t>China</t>
  </si>
  <si>
    <t>Indonesia</t>
  </si>
  <si>
    <t>Malaysia</t>
  </si>
  <si>
    <t>India</t>
  </si>
  <si>
    <t>Canada</t>
  </si>
  <si>
    <t>Italy</t>
  </si>
  <si>
    <t>Taiwan</t>
  </si>
  <si>
    <t>Argentina</t>
  </si>
  <si>
    <t>Australia</t>
  </si>
  <si>
    <t>Belgium</t>
  </si>
  <si>
    <t>Colombia</t>
  </si>
  <si>
    <t>France</t>
  </si>
  <si>
    <t>Kazakhstan</t>
  </si>
  <si>
    <t>Mexico</t>
  </si>
  <si>
    <t>Norway</t>
  </si>
  <si>
    <t>Poland</t>
  </si>
  <si>
    <t>Romania</t>
  </si>
  <si>
    <t>South Africa</t>
  </si>
  <si>
    <t>Spain</t>
  </si>
  <si>
    <t>Thailand</t>
  </si>
  <si>
    <t>Turkey</t>
  </si>
  <si>
    <t>United Arab Emirates</t>
  </si>
  <si>
    <t>Vietnam</t>
  </si>
  <si>
    <t>Table 5c. RQ5 – Studies by education level (ISCED 2011)</t>
  </si>
  <si>
    <t>Pre-primary</t>
  </si>
  <si>
    <t>Higher education</t>
  </si>
  <si>
    <t>Informal / general public</t>
  </si>
  <si>
    <t>Table 5d. RQ5 – Studies by subject area (ISCED-F 2013)</t>
  </si>
  <si>
    <t>Agriculture</t>
  </si>
  <si>
    <t>Arts &amp; humanities (arts)</t>
  </si>
  <si>
    <t>Engineering, manufacturing &amp; construction</t>
  </si>
  <si>
    <t>Table 5e. RQ5/RQ6 – Studies by device category</t>
  </si>
  <si>
    <t>None (mock-up)</t>
  </si>
  <si>
    <t>Table 5f. RQ5 – Studies by XR type</t>
  </si>
  <si>
    <t>VR</t>
  </si>
  <si>
    <t>AR</t>
  </si>
  <si>
    <t>MR</t>
  </si>
  <si>
    <t>VR (360°)</t>
  </si>
  <si>
    <t>AR/3D (EON-XR)</t>
  </si>
  <si>
    <t>Desktop 3D + gesture</t>
  </si>
  <si>
    <t>Desktop 3D virtual world</t>
  </si>
  <si>
    <t>Low-fidelity VR mock-up</t>
  </si>
  <si>
    <t>VR (metaverse)</t>
  </si>
  <si>
    <t>VR (social VR)</t>
  </si>
  <si>
    <t>Table 5g. RQ5 – Learner populations with special educational needs</t>
  </si>
  <si>
    <t>Population coded "SEN – …"</t>
  </si>
  <si>
    <t>mentions ADHD</t>
  </si>
  <si>
    <t>mentions ASD</t>
  </si>
  <si>
    <t>Table 5h. Publication year (context from the mapping)</t>
  </si>
  <si>
    <t>Year</t>
  </si>
  <si>
    <t>2015</t>
  </si>
  <si>
    <t>2016</t>
  </si>
  <si>
    <t>2017</t>
  </si>
  <si>
    <t>2018</t>
  </si>
  <si>
    <t>2019</t>
  </si>
  <si>
    <t>2020</t>
  </si>
  <si>
    <t>2021</t>
  </si>
  <si>
    <t>2022</t>
  </si>
  <si>
    <t>2023</t>
  </si>
  <si>
    <t>2024</t>
  </si>
  <si>
    <t>Table 7a. RQ7 – Study design (grouped)</t>
  </si>
  <si>
    <t>Empirical studies (n = 32)</t>
  </si>
  <si>
    <t>Single group, post-test only</t>
  </si>
  <si>
    <t>Single group, pre–post</t>
  </si>
  <si>
    <t>Single group, mixed methods / DBR</t>
  </si>
  <si>
    <t>Within-subject comparison</t>
  </si>
  <si>
    <t>Between-group comparison (non-randomised)</t>
  </si>
  <si>
    <t>Cross-sectional survey</t>
  </si>
  <si>
    <t>Qualitative</t>
  </si>
  <si>
    <t>Table 7b. RQ7 – Comparison condition</t>
  </si>
  <si>
    <t>None</t>
  </si>
  <si>
    <t>Traditional teaching</t>
  </si>
  <si>
    <t>Non-immersive digital</t>
  </si>
  <si>
    <t>Traditional + non-immersive</t>
  </si>
  <si>
    <t>Other XR</t>
  </si>
  <si>
    <t>Table 7c. RQ7 – Statistical support for E/M/S findings</t>
  </si>
  <si>
    <t>Inferential with effect size</t>
  </si>
  <si>
    <t>Inferential, no effect size</t>
  </si>
  <si>
    <t>Descriptive only</t>
  </si>
  <si>
    <t>Qualitative only</t>
  </si>
  <si>
    <t>Table 7d. RQ7 – Instrument validation</t>
  </si>
  <si>
    <t>Yes</t>
  </si>
  <si>
    <t>Adapted</t>
  </si>
  <si>
    <t>Partly</t>
  </si>
  <si>
    <t>No</t>
  </si>
  <si>
    <t>N/A</t>
  </si>
  <si>
    <t>Table 7e. RQ7 – MMAT category</t>
  </si>
  <si>
    <t>Quantitative descriptive</t>
  </si>
  <si>
    <t>Quantitative non-randomised</t>
  </si>
  <si>
    <t>Mixed methods</t>
  </si>
  <si>
    <t>Quantitative RCT</t>
  </si>
  <si>
    <t>Table 7f. RQ7 – MMAT score distribution (criteria met out of 5)</t>
  </si>
  <si>
    <t>MMAT score</t>
  </si>
  <si>
    <t>1</t>
  </si>
  <si>
    <t>2</t>
  </si>
  <si>
    <t>3</t>
  </si>
  <si>
    <t>4</t>
  </si>
  <si>
    <t>5</t>
  </si>
  <si>
    <t>Median (empirical)</t>
  </si>
  <si>
    <t>Table 7g. RQ7 – Overall rigor (rule-based)</t>
  </si>
  <si>
    <t>High</t>
  </si>
  <si>
    <t>Moderate</t>
  </si>
  <si>
    <t>Low</t>
  </si>
  <si>
    <t>Table 7h. RQ7 – Reporting of adverse effects</t>
  </si>
  <si>
    <t>Cybersickness / physical discomfort reported</t>
  </si>
  <si>
    <t>Usability, behavioural or safety issues only</t>
  </si>
  <si>
    <t>Explicitly none observed</t>
  </si>
  <si>
    <t>Figures for RQ5–RQ7 (native Excel charts linked to the Evidence Map sheet – they update automatically)</t>
  </si>
  <si>
    <t>New num</t>
  </si>
  <si>
    <t>Title</t>
  </si>
  <si>
    <t>MMAT category</t>
  </si>
  <si>
    <t>S1 Clear research questions?</t>
  </si>
  <si>
    <t>S2 Data address the RQs?</t>
  </si>
  <si>
    <t>Criterion 1</t>
  </si>
  <si>
    <t>Criterion 2</t>
  </si>
  <si>
    <t>Criterion 3</t>
  </si>
  <si>
    <t>Criterion 4</t>
  </si>
  <si>
    <t>Criterion 5</t>
  </si>
  <si>
    <t>Score (Yes count)</t>
  </si>
  <si>
    <t>Rationale</t>
  </si>
  <si>
    <t>Transforming Secondary School Chemistry Learning with Virtual Reality</t>
  </si>
  <si>
    <t>Can't tell</t>
  </si>
  <si>
    <t>4.1 students from one chemistry class = target group; 4.2 single class, convenience; 4.3 SUS items modified without re-validation; 4.4 response rate not reported; 4.5 descriptive SUS scoring appropriate.</t>
  </si>
  <si>
    <t>Development of an immersive virtual reality system for learning about plants in primary education: evaluation of teachers’ perceptions and learners’ flow experiences and learning attitudes</t>
  </si>
  <si>
    <t>Student survey component appraised. 4.1 grade-5 pupils = target; 4.2 recruitment/school not described; 4.3 adapted validated scales with α reported (control α = .54 low); 4.4 completion not reported; 4.5 RM-ANOVA + regression appropriate.</t>
  </si>
  <si>
    <t>PlutoAR: a scalable marker-based augmented reality application for interactive and inclusive education</t>
  </si>
  <si>
    <t>4.1 convenience sample at school visits and public events, ages 10–45 pooled; 4.2 not representative of K-10 target; 4.3 SUS standard but satisfaction is single item; 4.4 not reported; 4.5 descriptive appropriate.</t>
  </si>
  <si>
    <t>Inclusive Learning through Immersive Virtual Reality and Semantic Embodied Conversational Agent: A case study in children with autism; [Aprendizaje Inclusivo mediante Realidad Virtual Inmersiva y Agente Conversacional Semántico Encarnado: Un caso de estudio en niños con autismo]</t>
  </si>
  <si>
    <t>4.1 children with autism = target; 4.2 snowball via one parent network, n = 10; 4.3 adapted SAM, parent-administered test without baseline; 4.4 not reported; 4.5 descriptive appropriate.</t>
  </si>
  <si>
    <t>Evaluation User Acceptance of Mobile Virtual Reality Application for English Learning</t>
  </si>
  <si>
    <t>4.1 high-school English learners = target; 4.2 sampling not described; 4.3 adopted TAM items, enjoyment/motivation single items, no reliability; 4.4 not reported; 4.5 descriptive appropriate.</t>
  </si>
  <si>
    <t>Implementation of Prototype Environment of Virtual Reality Platform for Virtual Lab (Use case of ESL)</t>
  </si>
  <si>
    <t>Not appraisable (no empirical learner study)</t>
  </si>
  <si>
    <t>Technical latency test only; no learner data.</t>
  </si>
  <si>
    <t>Comparison and enhancement of VR water cycle guide applications</t>
  </si>
  <si>
    <t>4.1/4.2 'multiple schools', no sampling or N; 4.3 author-made yes/no items; 4.4 not reported; 4.5 only bar-chart percentages without N.</t>
  </si>
  <si>
    <t>User Interface for an Immersive Virtual Reality Greenhouse for Training Precision Agriculture</t>
  </si>
  <si>
    <t>Design paper; no user evaluation.</t>
  </si>
  <si>
    <t>Work-in-Progress-GeoForge: Integrating Virtual Reality and a Personalized Website to Foster Collaboration in Middle School Science</t>
  </si>
  <si>
    <t>Engagement evidence from teacher interviews (qualitative component appraised). 1.3 coded by a single rater; quotes support interpretation.</t>
  </si>
  <si>
    <t>An integrated VR/AR framework for user-centric interactive experience of cultural heritage: The ArkaeVision project</t>
  </si>
  <si>
    <t>4.1 museum visitors = target public; 4.2 opportunistic visitors, mostly adults; 4.3 author-made questionnaire, no psychometrics; 4.4 few refusals, complete forms; 4.5 descriptive %.</t>
  </si>
  <si>
    <t>Development of practical tasks in physics with elements of augmented reality for secondary educational institutions</t>
  </si>
  <si>
    <t>4.3 single question; 4.5 reported percentages impossible for n = 20.</t>
  </si>
  <si>
    <t>Virtual Reality in Music Education: A Qualitative User Study of HarmosphereVR</t>
  </si>
  <si>
    <t>Observation notes, reaction cards and interviews; analysis ('thematic clusters') only briefly described; quotes support claims; snowball sample of 6.</t>
  </si>
  <si>
    <t>Research on the Impact of Interactive Experience and Perceived Value on User Satisfaction in VR Education</t>
  </si>
  <si>
    <t>4.2 random selection from 17 classes; 4.3 α and CFA reported; 4.4 distributed/collected numbers inconsistent; 4.5 hypothesised paths never reported.</t>
  </si>
  <si>
    <t>Usability Study of GenAI for English Learning in VR</t>
  </si>
  <si>
    <t>4.2 purposive n = 7; 4.3 standard SUS; 4.5 SUS scoring appropriate.</t>
  </si>
  <si>
    <t>StellarScape: Explore the Solar System with AR Cube</t>
  </si>
  <si>
    <t>Development paper; no evaluation.</t>
  </si>
  <si>
    <t>CuriosityXR: Context-aware Education Experiences with Mixed Reality and Conversation AI</t>
  </si>
  <si>
    <t>3.1 six university participants; 3.2 ratings from transcription notes, no validated measure; 3.3 not reported; 3.4 fixed order MR→laptop, no control of order/prior knowledge; 3.5 not described.</t>
  </si>
  <si>
    <t>Cross-Reality Interaction and Collaboration in Museums, Education, and Rehabilitation</t>
  </si>
  <si>
    <t>3.1 six young adults, not target learners; 3.2 standard SUS/UEQ-S; 3.3 all 36 sets collected; 3.4 order/role effects not described; 3.5 sessions as planned.</t>
  </si>
  <si>
    <t>Shrink or grow the kids? Scale cognition in an immersive virtual environment for K-12 summer camp</t>
  </si>
  <si>
    <t>4.2 summer-camp attendees; 4.3 single author-made items; 4.4 all 69 responded; 4.5 descriptive %.</t>
  </si>
  <si>
    <t>WEBARIO: A Web based Portal with Revolutionary Virtual Classroom and Augmented Reality Integration for Enhanced Learning</t>
  </si>
  <si>
    <t>Virtual learner experience (VLX): A new dimension of virtual reality environments for the assessment of knowledge transfer</t>
  </si>
  <si>
    <t>4.2 convenience sample of 10; 4.3 author-made Likert items, no psychometrics; 4.4 some items not answered by all; 4.5 descriptive means.</t>
  </si>
  <si>
    <t>GIS-BASED EDUCATIONAL GAME THROUGH LOW-COST VIRTUAL TOUR EXPERIENCE Khan Game</t>
  </si>
  <si>
    <t>Playtest mentioned but no results reported.</t>
  </si>
  <si>
    <t>The Application of Scientific Games by Artificial Intelligence in Preschool Education under the Smart City</t>
  </si>
  <si>
    <t>Retracted article – not appraised.</t>
  </si>
  <si>
    <t>arPcTECHture' - a gamified educational 3D virtual world for introductory concepts in computer architecture</t>
  </si>
  <si>
    <t>4.3 standard UEQ, translated per guidelines; 4.4 12 of 200 responded (6%); 4.5 UEQ tool and benchmark appropriate.</t>
  </si>
  <si>
    <t>TEACHING EARTH SYSTEMS BEYOND THE CLASSROOM: DEVELOPING A MIXED REALITY (XR) SANDBOX</t>
  </si>
  <si>
    <t>No user data received.</t>
  </si>
  <si>
    <t>Fantastic voyage 2021: Using interactive VR storytelling to explain targeted COVID-19 vaccine delivery to antigen-presenting cells</t>
  </si>
  <si>
    <t>Design paper; no evaluation.</t>
  </si>
  <si>
    <t>Design and implementation of a virtual reality insects learning system with its user experience evaluation</t>
  </si>
  <si>
    <t>4.3 adapted scales with α ≥ .74 (but load items worded as ease); 4.4 completion not reported (gift incentive); 4.5 descriptive + correlations appropriate.</t>
  </si>
  <si>
    <t>Virtual reality for deeper learning: An exemplar from high school science</t>
  </si>
  <si>
    <t>Rich video/work-sample data; exemplar purposively selected as most successful case, analysis process not detailed.</t>
  </si>
  <si>
    <t>Virtual simulation for history education</t>
  </si>
  <si>
    <t>Practice description; no data.</t>
  </si>
  <si>
    <t>Teach Me a Story: An Augmented Reality Application for Teaching History in Middle School</t>
  </si>
  <si>
    <t>3.2 author-made 4-point items, comparison with 'expected' time not measured; 3.3 all 26 completed; 3.4 no control of confounders; 3.5 lesson delivered as planned.</t>
  </si>
  <si>
    <t>An immersive virtual reality learning environment with CFD simulations: Unveiling the Virtual Garage concept</t>
  </si>
  <si>
    <t>4.3 SUS, UEQ, NASA-TLX, SSQ standard; 4.4 no drop-outs; 4.5 appropriate non-parametric tests.</t>
  </si>
  <si>
    <t>Gamified Virtual Reality for Computational Thinking</t>
  </si>
  <si>
    <t>3.1 interns + adults, n = 8; 3.2 standard UEQ and presence scale; 3.3 all completed; 3.4 pseudorandom order, task pre-explained; 3.5 as planned.</t>
  </si>
  <si>
    <t>Sustainability in Elementary School: The Prototype and Evaluation of XR-based Learning to Achieve Quality Education</t>
  </si>
  <si>
    <t>4.2 purposive, one private school; 4.3 standard UEQ; 4.4 50 → 40 after cleaning; 4.5 UEQ tool.</t>
  </si>
  <si>
    <t>Virtual Reality-Based Traffic Sign Education for Early Childhood</t>
  </si>
  <si>
    <t>4.3 single author-made rating items with 4–7-year-olds; 4.5 descriptive counts.</t>
  </si>
  <si>
    <t>A new intelligent VR biological learning system based on natural interaction</t>
  </si>
  <si>
    <t>Participants undescribed; author-made questionnaire; order and confounders not addressed; procedure unclear.</t>
  </si>
  <si>
    <t>Exploring User Experience and Usability in a Metaverse Learning Environment for Students: A Usability Study of the Artificial Intelligence, Innovation, and Society (AIIS)</t>
  </si>
  <si>
    <t>4.2 social-media recruitment; 4.3 standard GEQ; 4.5 descriptive means.</t>
  </si>
  <si>
    <t>Exploring Prehistoric Era in Virtual Reality Walkthrough</t>
  </si>
  <si>
    <t>N not stated; author-made acceptance items; item counts differ (missing responses); reported % inconsistent with figure.</t>
  </si>
  <si>
    <t>Chemisim: A Web-based VR Simulator for Chemistry Experiments</t>
  </si>
  <si>
    <t>Intended for high-school students but tested with university students/professors; author-made ratings; descriptive means.</t>
  </si>
  <si>
    <t>Multidisciplinary Virtual Environments for Kids with ADHD: A Pilot Study</t>
  </si>
  <si>
    <t>3.1 children with ADHD = target; 3.2 post-test α = .68, teacher-rated; 3.3 all 5 completed; 3.4 no control; 3.5 exposure not described.</t>
  </si>
  <si>
    <t>vSocial: a cloud-based system for social virtual reality learning environment applications in special education</t>
  </si>
  <si>
    <t>3.1 comparison run with college students, not ASD youth; 3.2 author-made survey; 3.4 order randomised; others not reported.</t>
  </si>
  <si>
    <t>The design of recognition system of children basic activities based on virtual reality</t>
  </si>
  <si>
    <t>Teacher-only evaluation.</t>
  </si>
  <si>
    <t>Determining design requirements for AR physics education applications</t>
  </si>
  <si>
    <t>Teacher interviews only; no learner data.</t>
  </si>
  <si>
    <t>Implementation of the framework to heritage education supported in augmented reality</t>
  </si>
  <si>
    <t>4.2 sample size calculated but sampling method unclear; 4.3 8 items selected from ARCS instrument without re-validation; 4.5 descriptive statistics.</t>
  </si>
  <si>
    <t>Evaluation of user interface satisfaction for virtual umrah among secondary school students</t>
  </si>
  <si>
    <t>4.3 QUIS is standard but applied after a demonstration, not hands-on use; 4.5 descriptive means.</t>
  </si>
  <si>
    <t>Discounted prototyping of virtual reality solutions for science education</t>
  </si>
  <si>
    <t>No XR exposure (paper mock-up); 2 learners.</t>
  </si>
  <si>
    <t>Developing mixed reality educational applications: The virtual touch toolkit</t>
  </si>
  <si>
    <t>Sample sizes, group allocation and instruments not reported; no statistics.</t>
  </si>
  <si>
    <t>MMAT 2018 criteria by category (Hong QN et al., Mixed Methods Appraisal Tool, version 2018, Canadian IP registration 1148552). Ratings: Yes / No / Can't tell. For mixed-methods studies, the component that supplies the RQ6 evidence is appraised and this is stated in the rationale.</t>
  </si>
  <si>
    <t>1.1 Qualitative approach appropriate?</t>
  </si>
  <si>
    <t>1.2 Data collection adequate?</t>
  </si>
  <si>
    <t>1.3 Findings adequately derived from data?</t>
  </si>
  <si>
    <t>1.4 Interpretation substantiated by data?</t>
  </si>
  <si>
    <t>1.5 Coherence between data, analysis, interpretation?</t>
  </si>
  <si>
    <t>2.1 Randomisation appropriate?</t>
  </si>
  <si>
    <t>2.2 Groups comparable at baseline?</t>
  </si>
  <si>
    <t>2.3 Complete outcome data?</t>
  </si>
  <si>
    <t>2.4 Assessors blinded?</t>
  </si>
  <si>
    <t>2.5 Adherence to intervention?</t>
  </si>
  <si>
    <t>3.1 Participants representative of target population?</t>
  </si>
  <si>
    <t>3.2 Measurements appropriate (outcome &amp; intervention)?</t>
  </si>
  <si>
    <t>3.3 Complete outcome data?</t>
  </si>
  <si>
    <t>3.4 Confounders accounted for?</t>
  </si>
  <si>
    <t>3.5 Intervention administered as intended?</t>
  </si>
  <si>
    <t>4.1 Sampling strategy relevant to RQ?</t>
  </si>
  <si>
    <t>4.2 Sample representative of target population?</t>
  </si>
  <si>
    <t>4.3 Measurements appropriate?</t>
  </si>
  <si>
    <t>4.4 Risk of nonresponse bias low?</t>
  </si>
  <si>
    <t>4.5 Statistical analysis appropriate?</t>
  </si>
  <si>
    <t>5.1 Rationale for mixed methods adequate?</t>
  </si>
  <si>
    <t>5.2 Components effectively integrated?</t>
  </si>
  <si>
    <t>5.3 Integration outputs interpreted?</t>
  </si>
  <si>
    <t>5.4 Divergences addressed?</t>
  </si>
  <si>
    <t>5.5 Components meet their quality criteria?</t>
  </si>
  <si>
    <t>Authors</t>
  </si>
  <si>
    <t>Author full names</t>
  </si>
  <si>
    <t>Author(s) ID</t>
  </si>
  <si>
    <t>Source title</t>
  </si>
  <si>
    <t>Cited by</t>
  </si>
  <si>
    <t>DOI</t>
  </si>
  <si>
    <t>Link</t>
  </si>
  <si>
    <t>Affiliations</t>
  </si>
  <si>
    <t>Authors with affiliations</t>
  </si>
  <si>
    <t>Abstract</t>
  </si>
  <si>
    <t>Author Keywords</t>
  </si>
  <si>
    <t>Index Keywords</t>
  </si>
  <si>
    <t>Publisher</t>
  </si>
  <si>
    <t>Language of Original Document</t>
  </si>
  <si>
    <t>Document Type</t>
  </si>
  <si>
    <t>Publication Stage</t>
  </si>
  <si>
    <t>Open Access</t>
  </si>
  <si>
    <t>Source</t>
  </si>
  <si>
    <t>Status</t>
  </si>
  <si>
    <t>Reason</t>
  </si>
  <si>
    <t>Degree level</t>
  </si>
  <si>
    <t>Who 1</t>
  </si>
  <si>
    <t>Who 2</t>
  </si>
  <si>
    <t>Note 1</t>
  </si>
  <si>
    <t>Note 2</t>
  </si>
  <si>
    <t>RQ1</t>
  </si>
  <si>
    <t>RQ2</t>
  </si>
  <si>
    <t>RQ3</t>
  </si>
  <si>
    <t>RQ4</t>
  </si>
  <si>
    <t>Focus</t>
  </si>
  <si>
    <t>Who checked GPT Feedback</t>
  </si>
  <si>
    <t xml:space="preserve">Who Re checked GPT Feedback </t>
  </si>
  <si>
    <t>Main Author</t>
  </si>
  <si>
    <t>Main Author Email</t>
  </si>
  <si>
    <t>RQ5 – Country (study site)</t>
  </si>
  <si>
    <t>RQ5 – Region</t>
  </si>
  <si>
    <t>RQ5 – Education level (ISCED 2011)</t>
  </si>
  <si>
    <t>RQ5 – Learner population</t>
  </si>
  <si>
    <t>RQ5 – Subject area (ISCED-F 2013 broad field)</t>
  </si>
  <si>
    <t>RQ5 – Subject (specific)</t>
  </si>
  <si>
    <t>RQ6 – XR type</t>
  </si>
  <si>
    <t>RQ6 – Device category</t>
  </si>
  <si>
    <t>RQ6 – Device (specific)</t>
  </si>
  <si>
    <t>RQ6 – Comparison condition</t>
  </si>
  <si>
    <t>RQ6 – Engagement effect</t>
  </si>
  <si>
    <t>RQ6 – Motivation effect</t>
  </si>
  <si>
    <t>RQ6 – Satisfaction effect</t>
  </si>
  <si>
    <t>RQ6 – Other reported outcomes</t>
  </si>
  <si>
    <t>RQ6 – Statistical support</t>
  </si>
  <si>
    <t>RQ6 – Effect size</t>
  </si>
  <si>
    <t>RQ6 – Instrument(s)</t>
  </si>
  <si>
    <t>RQ6 – Instrument validated?</t>
  </si>
  <si>
    <t>RQ7 – Study design</t>
  </si>
  <si>
    <t>RQ7 – Design class</t>
  </si>
  <si>
    <t>RQ7 – MMAT category</t>
  </si>
  <si>
    <t>RQ7 – Sample size (N)</t>
  </si>
  <si>
    <t>RQ7 – Exposure (duration)</t>
  </si>
  <si>
    <t>RQ7 – MMAT score (0–5)</t>
  </si>
  <si>
    <t>RQ7 – Overall rigor (auto)</t>
  </si>
  <si>
    <t>RQ7 – Adverse effects / limitations reported</t>
  </si>
  <si>
    <t>RQ7 – Adverse-effect reporting</t>
  </si>
  <si>
    <t>Synthesis set</t>
  </si>
  <si>
    <t>Eligibility reason</t>
  </si>
  <si>
    <t>Extraction status</t>
  </si>
  <si>
    <t>Verification flags</t>
  </si>
  <si>
    <t>Chew C.S.; Zafarin M.N.S.; Zain N.H.M.; Aminuddin R.; Tan T.G.; Chin K.O.</t>
  </si>
  <si>
    <t>Chew, Chiou Sheng (57206205702); Zafarin, Muhammad Nabil Shah (59664996100); Zain, Nurul Hidayah Mat (59664977600); Aminuddin, Raihah (57189037041); Tan, Tse Guan (57226387853); Chin, Kim On (59484027400)</t>
  </si>
  <si>
    <t>57206205702; 59664996100; 59664977600; 57189037041; 57226387853; 59484027400</t>
  </si>
  <si>
    <t>2024 IEEE 22nd Student Conference on Research and Development, SCOReD 2024</t>
  </si>
  <si>
    <t>10.1109/SCOReD64708.2024.10872679</t>
  </si>
  <si>
    <t>https://www.scopus.com/inward/record.uri?eid=2-s2.0-85219552594&amp;doi=10.1109%2fSCOReD64708.2024.10872679&amp;partnerID=40&amp;md5=187cbbb42c76a164a4f1ddcf9e3eaf41</t>
  </si>
  <si>
    <t>Universiti Teknologi MARA Melaka Branch, College of Computing, Informatics and Mathematics, Jasin Campus, Melaka, Malaysia; Universiti Malaysia Kelantan, Faculty of Creative Technology and Heritage, Malaysia; Universiti Malaysia Sabah, Faculty of Computing and Informatics, Sabah, Malaysia</t>
  </si>
  <si>
    <t>Chew C.S., Universiti Teknologi MARA Melaka Branch, College of Computing, Informatics and Mathematics, Jasin Campus, Melaka, Malaysia; Zafarin M.N.S., Universiti Teknologi MARA Melaka Branch, College of Computing, Informatics and Mathematics, Jasin Campus, Melaka, Malaysia; Zain N.H.M., Universiti Teknologi MARA Melaka Branch, College of Computing, Informatics and Mathematics, Jasin Campus, Melaka, Malaysia; Aminuddin R., Universiti Teknologi MARA Melaka Branch, College of Computing, Informatics and Mathematics, Jasin Campus, Melaka, Malaysia; Tan T.G., Universiti Malaysia Kelantan, Faculty of Creative Technology and Heritage, Malaysia; Chin K.O., Universiti Malaysia Sabah, Faculty of Computing and Informatics, Sabah, Malaysia</t>
  </si>
  <si>
    <t>In secondary schools, traditional chemistry instruction often depends on lecture-based approaches and occasional hands-on experiments, which may limit students' grasp of complex concepts like chemical reactions and molecular behaviour. This study addresses the need for enhanced educational tools by introducing a Virtual Reality (VR) application designed to enrich chemistry learning through immersive, interactive experiences. The VR tool allows students to simulate chemical reactions with adjustable parameters, such as temperature and concentration, enabling safe, hands-on exploration of complex processes. Usability was assessed among 30 secondary school students in Malaysia using the System Usability Scale (SUS), a standardized measure that gauges user experience across factors like functionality and ease of use. Findings showed a strong average SUS score of 91.25, indicating high usability and positive engagement from users. These results suggest that incorporating VR into the chemistry curriculum can help make challenging topics more accessible and engaging, supporting the modernization of science education. Future studies will look to expand the sample size and investigate additional chemistry topics to validate the tool's educational benefits further.  © 2024 IEEE.</t>
  </si>
  <si>
    <t>Chemistry; Immersive learning; Secondary education; Virtual reality</t>
  </si>
  <si>
    <t>Complexation; Adjustable parameters; Educational tools; Immersive; Immersive learning; Molecular behavior; Reaction behavior; Secondary education; Secondary schools; System usability; Virtual reality tools; Students</t>
  </si>
  <si>
    <t>Institute of Electrical and Electronics Engineers Inc.</t>
  </si>
  <si>
    <t>English</t>
  </si>
  <si>
    <t>Conference paper</t>
  </si>
  <si>
    <t>Final</t>
  </si>
  <si>
    <t>Scopus</t>
  </si>
  <si>
    <t>Accepted</t>
  </si>
  <si>
    <t>Relevant</t>
  </si>
  <si>
    <t>Basic education</t>
  </si>
  <si>
    <t>Ahsan</t>
  </si>
  <si>
    <t>Lamarck</t>
  </si>
  <si>
    <t>Check</t>
  </si>
  <si>
    <t>Device used: Oculus Quest 2 standalone VR headset​
Type of XR: Fully immersive Virtual Reality (VR) (interactive 3D environment)</t>
  </si>
  <si>
    <t>System Usability Scale (SUS)​: 10-question survey evaluating ease of use, efficiency, and satisfaction.</t>
  </si>
  <si>
    <t>Students: Found VR easy to use and highly engaging​ Helped with understanding difficult concepts like reaction rates. No mention of negative effects like motion sickness in this study​
Teachers: Not directly evaluated here, but VR was framed as a helpful complement to traditional methods​</t>
  </si>
  <si>
    <t xml:space="preserve">Metric: SUS Score (System Usability Scale)​
Method:SUS processed by: Reversing odd questions, adjusting even questions. Summing and scaling to 0–100.
Result: Average SUS Score: 91.25, indicating excellent usability​
</t>
  </si>
  <si>
    <t xml:space="preserve">Software/Platform: Unity for VR environment development​
Hardware: Oculus Quest 2 headset​
Instructional design: ADDIE model (Analysis, Design, Development, Implementation, Evaluation) for systematic educational tool creation​
</t>
  </si>
  <si>
    <t xml:space="preserve">STEM </t>
  </si>
  <si>
    <t>Typical learners (age 16)</t>
  </si>
  <si>
    <t>Chemistry (chemical reactions)</t>
  </si>
  <si>
    <t>HMD – standalone</t>
  </si>
  <si>
    <t>Not measured</t>
  </si>
  <si>
    <t>Usability only: SUS = 91.25. Authors state engagement and learning were NOT evaluated</t>
  </si>
  <si>
    <t>SUS (items modified by authors)</t>
  </si>
  <si>
    <t>Single-group post-test only</t>
  </si>
  <si>
    <t>30 students (age 16; 60% F)</t>
  </si>
  <si>
    <t>Single session (duration NR)</t>
  </si>
  <si>
    <t>Excluded</t>
  </si>
  <si>
    <t>E3: No engagement, motivation or satisfaction outcome measured (usability only; authors state engagement was not evaluated)</t>
  </si>
  <si>
    <t>Verified (full text)</t>
  </si>
  <si>
    <t>Abstract claims 'positive engagement', but the paper says engagement was not evaluated – no E/M/S evidence</t>
  </si>
  <si>
    <t>Cheng K.-H.</t>
  </si>
  <si>
    <t>Cheng, Kun-Hung (37461088800)</t>
  </si>
  <si>
    <t>Educational Technology Research and Development</t>
  </si>
  <si>
    <t>10.1007/s11423-023-10300-6</t>
  </si>
  <si>
    <t>https://www.scopus.com/inward/record.uri?eid=2-s2.0-85174240307&amp;doi=10.1007%2fs11423-023-10300-6&amp;partnerID=40&amp;md5=d42e39e94437a741283692aedd7cf464</t>
  </si>
  <si>
    <t>Graduate Institute of Library &amp; amp; Information Science, National Chung Hsing University, 145 Xingda Rd., South District, Taichung, 402, Taiwan; Innovation and Development Center of Sustainable Agriculture, National Chung Hsing University, Taichung, Taiwan</t>
  </si>
  <si>
    <t>Cheng K.-H., Graduate Institute of Library &amp; amp; Information Science, National Chung Hsing University, 145 Xingda Rd., South District, Taichung, 402, Taiwan, Innovation and Development Center of Sustainable Agriculture, National Chung Hsing University, Taichung, Taiwan</t>
  </si>
  <si>
    <t>This study aimed to establish a fully 3D modeled immersive virtual reality (IVR) system for primary school students learning about plants and evaluate teachers’ perceptions of the usage of the system and pupils’ flow experiences and learning attitudes. There were 5 teachers with expertise in science and IVR experience who were first interviewed to understand their consideration of the limitations of teaching about plants in the classroom. The framework and script of the learning content for the IVR system, as well as the user interface and function were then comprehensively described. Another 10 teachers were invited to evaluate the appropriateness of the system for fifth-grade students to learn about plants. These teachers generally expressed positive attitudes towards exploiting the IVR system for their teaching. Moreover, there were 37 fifth-grade students contributed to the evaluation of the system. The results indicated that the IVR system was capable of offering the pupils perceptions of antecedences to achieve flow such as task challenge, clear goal, instant feedback, well control, and playability, and aroused their flow experiences, particularly regarding autotelic experience and concentration. This study also verified the relationships between the pupils’ flow experiences and learning attitudes. The crucial roles of flow perceptions including playability, challenge, and autotelic experience in the pupils’ learning attitudes were further identified. According to the results of the evaluation from the teachers’ and students’ perspectives, several practical and academic implications of this study are proposed. © Association for Educational Communications and Technology 2023.</t>
  </si>
  <si>
    <t>Attitude; Flow experience; Instructional design; Science learning; Virtual reality</t>
  </si>
  <si>
    <t>Springer</t>
  </si>
  <si>
    <t>Article</t>
  </si>
  <si>
    <t>Device used: Standalone VR Headset: Gear VR with controller​
Type of XR: Fully 3D modeled immersive virtual reality (IVR) — not 360° photos.
Environment: Custom Unity-based 3D environments with interactive elements​</t>
  </si>
  <si>
    <t>Surveys:
Flow Scale for Games (FSG) (adapted) — measuring flow antecedents and flow experiences​
.
Learning Attitude Survey — measuring ease of use, usefulness, affection (negative feelings), and intention​
.
Interviews:
Teachers interviewed after trials regarding usability, suitability, and willingness to use</t>
  </si>
  <si>
    <t>Students:
Increased concentration, intrinsic enjoyment (autotelic experience), and positive attitudes.
Minor issues: moderate time distortion, mild self-consciousness, but mostly positive​
.
Teachers:
Mostly positive (seeing VR as beneficial), but some discomfort (motion sickness, getting used to panoramic vision) and concerns about time demands</t>
  </si>
  <si>
    <t>Metrics for Students:
Flow antecedents: challenge, goal clarity, feedback, control, playability.
Flow experiences: concentration, time distortion, autotelic experience (enjoyment), loss of self-consciousness​
.
Learning attitudes: ease of use, usefulness, affection (anxiety/boredom), intention to reuse​
.
Statistical Analyses:
Repeated-measures ANOVA and Stepwise Regression Analysis</t>
  </si>
  <si>
    <t>Software/Platform:
Unity (game engine) for VR environment development​
.
Maya for 3D modeling and animation​
.
Oculus Mobile SDK for VR integration​
.
Hardware:
Gear VR headset + Controller​
.
Instructional design method:
ADDIE model (Analysis, Design, Development, Implementation, Evaluation)</t>
  </si>
  <si>
    <t>STEM</t>
  </si>
  <si>
    <t>Joao</t>
  </si>
  <si>
    <t>Pedro</t>
  </si>
  <si>
    <t>Typical learners (grade 5) + teachers</t>
  </si>
  <si>
    <t>Biology (plants), grade 5</t>
  </si>
  <si>
    <t>HMD – mobile (Gear VR)</t>
  </si>
  <si>
    <t>Concentration M = 4.38, autotelic enjoyment M = 4.49, intention to reuse M = 4.54 (/5); low anxiety/boredom M = 1.80</t>
  </si>
  <si>
    <t>No XR-vs-control ES (single group); R² = .14–.48 for flow → attitude regressions</t>
  </si>
  <si>
    <t>Flow Scale for Games (Kiili 2006, adapted; subscale α = .54–.82, overall .90); learning-attitude survey (adapted; α = .73)</t>
  </si>
  <si>
    <t>Mixed methods (single group)</t>
  </si>
  <si>
    <t>37 grade-5 students (19 M, 18 F); 10 teachers (+5 interviewed in analysis phase)</t>
  </si>
  <si>
    <t>Single session, 15–20 min</t>
  </si>
  <si>
    <t>Teachers: loss of spatial sense, one case of motion sickness; none reported for students</t>
  </si>
  <si>
    <t>Core</t>
  </si>
  <si>
    <t>Basic-education learners with empirical E/M/S data</t>
  </si>
  <si>
    <t>Mixed-methods study; MMAT applied to the student survey component that gives the RQ6 evidence</t>
  </si>
  <si>
    <t>Dash A.K.; Behera S.K.; Dogra D.P.</t>
  </si>
  <si>
    <t>Dash, Ajaya Kumar (56723571400); Behera, Santosh Kumar (57220715678); Dogra, Debi Prosad (35408975400)</t>
  </si>
  <si>
    <t>56723571400; 57220715678; 35408975400</t>
  </si>
  <si>
    <t>Multimedia Tools and Applications</t>
  </si>
  <si>
    <t>10.1007/s11042-023-17756-x</t>
  </si>
  <si>
    <t>https://www.scopus.com/inward/record.uri?eid=2-s2.0-85179311876&amp;doi=10.1007%2fs11042-023-17756-x&amp;partnerID=40&amp;md5=1173b72cd0c5cc55d1d20e7a1500440b</t>
  </si>
  <si>
    <t>Department of CSE, International Institute of Information Technology Bhubaneswar, Gothapatna, Odisha, Bhubaneswar, 751003, India; School of Electrical Sciences, Indian Institute of Technology Bhubaneswar, Argul, Odisha, Khordha, 752050, India; Department of CSE, National Institute of Technology, Kerala, Calicut, 673601, India</t>
  </si>
  <si>
    <t>Dash A.K., Department of CSE, International Institute of Information Technology Bhubaneswar, Gothapatna, Odisha, Bhubaneswar, 751003, India, School of Electrical Sciences, Indian Institute of Technology Bhubaneswar, Argul, Odisha, Khordha, 752050, India; Behera S.K., Department of CSE, National Institute of Technology, Kerala, Calicut, 673601, India; Dogra D.P., School of Electrical Sciences, Indian Institute of Technology Bhubaneswar, Argul, Odisha, Khordha, 752050, India</t>
  </si>
  <si>
    <t>Various studies have suggested that computational thinking needs to be highlighted as one of the essential abilities and it should be taught in the standard K-10 curriculum. However, the standard K-10 curriculum does not always contain accessible technology that uses interactive teaching methods and efficient analytical skill development. Also, most practical computational thinking applications that are being created seem to be complex and expensive for educational settings. In this work, we introduce PlutoAR, a marker-based augmented reality (AR) interpreter that is scalable, inexpensive, portable, and can be used as a platform for kids to enhance their skills in an inclusive way. PlutoAR incorporates AR through an interactive toolkit to give students the experiences of both the real and virtual worlds, overcoming the limitations of traditional and non-interactive setups. With the help of technology-based solutions, this effort intends to enable students from all demographic groups to engage in the learning process, regardless of their level of competence. The PlutoAR mobile application presently runs on any Android device with a camera. It creates inbuilt AR experiences like stories, basic elementary mathematics, navigating mazes utilising conditional loops to solve them, and the intuition of gravity. The usability of the PutoAR application is verified by performing the qualitative and quantitative analysis through user feedback. The application seems to be acceptable by users with a System Usability Scale (SUS) score of more than 80. In future, we intend to provide flexibility to the user for adding new content inside the application whenever needed and to promote AR-based collaboration among the students. © The Author(s), under exclusive licence to Springer Science+Business Media, LLC, part of Springer Nature 2023.</t>
  </si>
  <si>
    <t>Augmented reality; K-10 education; Smart learning application; User interfaces</t>
  </si>
  <si>
    <t>Augmented reality; Curricula; Learning systems; Students; Virtual reality; Analytical skills; Augmented reality applications; Computational thinkings; Essential abilities; Inclusive education; Interactive education; K-10 education; Skills development; Smart learning application; Teaching methods; User interfaces</t>
  </si>
  <si>
    <t>Device used:
Any Android mobile device with a camera​
.
Type of XR:
Marker-based Augmented Reality (AR), not full VR or Cave​</t>
  </si>
  <si>
    <t>System Usability Scale (SUS)​
:
Standard 10-question SUS survey (Likert scale 1–5).
Custom Survey Questions for qualitative analysis​
:
Evaluated ease of use, understanding concepts, visualization quality, 3D object quality, portability, overall experience.</t>
  </si>
  <si>
    <t xml:space="preserve">Students:
Reported high motivation, ease of use, better visualization of concepts​
.
Encouraged exploration, algorithmic thinking, and problem-solving.
Teachers:
Reported better engagement, especially in special needs students​
</t>
  </si>
  <si>
    <t xml:space="preserve">Metrics:
SUS Score (System Usability Scale).
Cronbach’s alpha to validate survey consistency (α = 0.770, "acceptable")​
.
Results:
Average SUS score: ~83–86 depending on age group, meaning excellent usability​
</t>
  </si>
  <si>
    <t>oftware/Platform:
Unity 3D for AR app development​
.
Vuforia Engine for marker-based AR​
.
Android Studio for mobile app deployment​
.
Hardware:
Android smartphones/tablets.
Markers:
Special printed tiles ("DreamKit") placed on a Launchpad (A4 paper) to trigger 3D AR content​</t>
  </si>
  <si>
    <t>School visitors &amp; event participants aged 10–45 (70% aged 10–15)</t>
  </si>
  <si>
    <t>Computational thinking; elementary maths &amp; science facts</t>
  </si>
  <si>
    <t>Mobile/tablet – marker-based AR</t>
  </si>
  <si>
    <t>Overall experience rated ≥ 7/10 by ~85%; ease of use ≥ 7/10 by ~80%; SUS ≈ 83 (age 10–15), 'excellent' across age groups</t>
  </si>
  <si>
    <t>Author-made 6-item survey (α = .77); SUS (standard)</t>
  </si>
  <si>
    <t>415 participants (289 aged 10–15)</t>
  </si>
  <si>
    <t>Demonstration sessions (duration NR)</t>
  </si>
  <si>
    <t>None reported; marker dependency noted</t>
  </si>
  <si>
    <t>Children and adults pooled; SEN school visit is anecdotal observation only; engagement/motivation claimed but not measured</t>
  </si>
  <si>
    <t>Alvarado Y.; Guerrero R.; Serón F.</t>
  </si>
  <si>
    <t>Alvarado, Yoselie (57193159663); Guerrero, Roberto (53663722000); Serón, Francisco (7004349303)</t>
  </si>
  <si>
    <t>57193159663; 53663722000; 7004349303</t>
  </si>
  <si>
    <t>Journal of Computer Science and Technology(Argentina)</t>
  </si>
  <si>
    <t>10.24215/16666038.23.e09</t>
  </si>
  <si>
    <t>https://www.scopus.com/inward/record.uri?eid=2-s2.0-85175262404&amp;doi=10.24215%2f16666038.23.e09&amp;partnerID=40&amp;md5=0ca6877443268c3ffee6318a6d34bd7f</t>
  </si>
  <si>
    <t>Laboratorio de Computación Gráfica, Universidad Nacional de San Luis, Argentina; Instituto de Física Aplicada, CONICET, Universidad Nacional de San Luis, Argentina; Instituto de Investigación de Ingeniería de Aragón, Grupo GIGA, Universidad de Zaragoza, Spain</t>
  </si>
  <si>
    <t>Alvarado Y., Laboratorio de Computación Gráfica, Universidad Nacional de San Luis, Argentina, Instituto de Física Aplicada, CONICET, Universidad Nacional de San Luis, Argentina; Guerrero R., Laboratorio de Computación Gráfica, Universidad Nacional de San Luis, Argentina; Serón F., Instituto de Investigación de Ingeniería de Aragón, Grupo GIGA, Universidad de Zaragoza, Spain</t>
  </si>
  <si>
    <t>Sustainable Development Goal 4 from the United Nations 2030 Agenda, focus on ensuring inclusive and equitable quality education and promoting lifelong learning opportunities for all. Inclusive education is a key component of sustainable development goal 4, and assistive technology is a critical factor in achieving it. In this context, this paper introduces the development of an immersive virtual reality system with conversational skills for inclusive learning processes. The idea of this work is to provide an assistive technology to motivate, educate, and train students with disabilities in a more inclusive way. In order to improve the user experience, the system was developed to work in a CAVE-like immersive environment using Natural Language Processing through a Semantic Embodied Conversational Agent. This work highlights that assistive technology can promote educational, psychological, and social benefits for students with disabilities. The use of assistive technology can enable academic engagement and social participation and be transformative from a psychological perspective. A case study was conducted on children with autism, which showed encouraging results of the system as an assistive technology for teaching and learning. © 2023, Facultad de Informatica, Universidad Nacional de La Plata. All rights reserved.</t>
  </si>
  <si>
    <t>Assistive Technologies; Autism; Immersive Virtual Reality; Inclusive Education; Natural Language Processing</t>
  </si>
  <si>
    <t>Facultad de Informatica, Universidad Nacional de La Plata</t>
  </si>
  <si>
    <t>All Open Access; Gold Open Access</t>
  </si>
  <si>
    <t xml:space="preserve">Device used:
CAVE-like immersive VR environment​
:
Room with three screens and three projectors.
Powerful PC with multi-GPU output.
Type of XR:
Immersive Virtual Reality + Semantic Embodied Conversational Agent (SECA)​
.
</t>
  </si>
  <si>
    <t xml:space="preserve">Emotional Response Measurement:
Adapted Self-Assessment Manikin (SAM) scale with visual "Lore" numbers​
.
Learning Assessment:
Home spelling tests with parents using customized name cards​
</t>
  </si>
  <si>
    <t>Students:
Children with autism showed positive emotional responses (average emotional score 3.73/5)​
.
Improved learning outcomes (average 74.6% correct in spelling names)​
.
No major discomforts reported; careful preparation helped (photos of lab, researcher, etc.).
Teachers and parents:
Not evaluated formally, but parents were involved in post-test assessment and supported the study.</t>
  </si>
  <si>
    <t>Metrics:
Lore Emotional Scale (adapted from SAM)​
.
Learning success rate (percentage of correctly spelled letters)​
.
Results:
Emotional average: 3.73/5.
Learning average: 74.6% correct.</t>
  </si>
  <si>
    <t xml:space="preserve">Software/Platform:
Multi-VRMedia platform for CAVE environment management​
.
Dbpedia for semantic knowledge for conversational agent​
.
Hardware:
CAVE-like setup: 3 screens, 3 short-throw projectors, powerful PC​
.
Input devices: Wireless microphone, special keyboard (modified for children)​
.
Interaction Tech:
Natural Language Processing (NLP) for real-time dialogue​
.
Speech-to-Text (ASR) and Text-to-Speech (TTS) modules​
.
</t>
  </si>
  <si>
    <t>Special Education</t>
  </si>
  <si>
    <t>SEN – autism (ages 3–7)</t>
  </si>
  <si>
    <t>Spelling / name literacy</t>
  </si>
  <si>
    <t>Emotional (liking) response M = 3.73/5 (SD 0.70; min 3); name-spelling accuracy 74.6% (51–97%) at home post-test</t>
  </si>
  <si>
    <t>Lore Emotional Scale (adapted Self-Assessment Manikin); parent-administered spelling test</t>
  </si>
  <si>
    <t>Case study</t>
  </si>
  <si>
    <t>10 children (ages 3–7)</t>
  </si>
  <si>
    <t>One encounter: 3 × ~2 min</t>
  </si>
  <si>
    <t>None reported; pre-visit preparation needed to reduce sensory sensitivity</t>
  </si>
  <si>
    <t>Engagement coded from emotional response (SAM); no baseline, parent-assessed learning outcome</t>
  </si>
  <si>
    <t>Chandra A.Y.; Prasetyaningrum P.T.; Suria O.; Santosa P.I.; Nugroho L.E.; Pratama I.</t>
  </si>
  <si>
    <t>Chandra, Albert Yakobus (57223975090); Prasetyaningrum, Putri Taqwa (57213688916); Suria, Ozzi (57223985787); Santosa, Paulus Insap (9636895500); Nugroho, Lukito Edi (6507794445); Pratama, Irfan (57205570140)</t>
  </si>
  <si>
    <t>57223975090; 57213688916; 57223985787; 9636895500; 6507794445; 57205570140</t>
  </si>
  <si>
    <t>2022 1st International Conference on Information System and Information Technology, ICISIT 2022</t>
  </si>
  <si>
    <t>10.1109/ICISIT54091.2022.9872873</t>
  </si>
  <si>
    <t>https://www.scopus.com/inward/record.uri?eid=2-s2.0-85138707720&amp;doi=10.1109%2fICISIT54091.2022.9872873&amp;partnerID=40&amp;md5=8ae1c292061e4c48976330bee99704e2</t>
  </si>
  <si>
    <t>Universitas Mercu Buana Yogyakarta, Department of Information System, Faculty of Information Technology, Indonesia; Universitas Gadjah Mada, Department of Electrical Engineering and Information Technology, Faculty of Engineering, Yogyakarta, Indonesia</t>
  </si>
  <si>
    <t>Chandra A.Y., Universitas Mercu Buana Yogyakarta, Department of Information System, Faculty of Information Technology, Indonesia; Prasetyaningrum P.T., Universitas Mercu Buana Yogyakarta, Department of Information System, Faculty of Information Technology, Indonesia; Suria O., Universitas Mercu Buana Yogyakarta, Department of Information System, Faculty of Information Technology, Indonesia; Santosa P.I., Universitas Gadjah Mada, Department of Electrical Engineering and Information Technology, Faculty of Engineering, Yogyakarta, Indonesia; Nugroho L.E., Universitas Gadjah Mada, Department of Electrical Engineering and Information Technology, Faculty of Engineering, Yogyakarta, Indonesia; Pratama I., Universitas Mercu Buana Yogyakarta, Department of Information System, Faculty of Information Technology, Indonesia</t>
  </si>
  <si>
    <t>This research develops virtual reality that integrates media elements such as sound, animation, and video with virtual world to create an immersive user experience. It is aimed to provide more interactivities and interesting features in supporting learning activities, such as using Cardboard to observe the virtual world and interact with virtual objects. Previously, a prototype was built to evaluate (high school) students' interests in using virtual reality technology as a supporting media to learn English language subject at high schools in Yogyakarta. Earlier research shows that students agreed to use of virtual reality prototype had been useful to support their learning activities. In this present research, a mobile application prototype is developed and evaluated using TAM methodology in order to understand the user behavior towards the application. The application of TAM in the field of learning and teaching for various learning domains implemented to understand the acceptance from the users while using Virtual Reality-based learning media. The TAM model It is a model can explain that the user's point of view will determine their attitude in accepting Virtual Reality-based learning applications. The evaluation results from this study showed that respondent is enjoyable to use this application (4.37 mean point) and 3.98 (mean point) feels that Virtual reality application is useful for learning English.  © 2022 IEEE.</t>
  </si>
  <si>
    <t>Learning Evaluation; Mobile Application; Virtual Reality</t>
  </si>
  <si>
    <t>Acceptability; Application; Education; English; Evaluation; Media; Research; Technology; Behavioral research; E-learning; Mobile computing; Software prototyping; English Learning; Immersive; Interactivity; Learning Activity; Learning evaluations; Mobile applications; Users' acceptance; Users' experiences; Virtual objects; Virtual worlds; Virtual reality</t>
  </si>
  <si>
    <t xml:space="preserve">Device used:
Android smartphones with Google Cardboard​
.
Type of XR:
Mobile-based Virtual Reality (VR)​
</t>
  </si>
  <si>
    <t>Technology Acceptance Model (TAM)​
:
Measured: Personal Innovativeness, Perceived Enjoyment, Perceived Ease of Use, Perceived Usefulness, Intention to Use.</t>
  </si>
  <si>
    <t xml:space="preserve">Students:
Reported high enjoyment (mean 4.43/5)​
.
Found the app easy to use (mean 4.37/5) and useful (mean 3.89/5)​
.
Expressed interest in continuing to use the VR application for learning (mean 4.19/5)​
.
Teachers:
Not directly evaluated, but the VR system is proposed as an additional tool for classroom activities​
</t>
  </si>
  <si>
    <t xml:space="preserve">Metrics from TAM model:
Personal Innovativeness (PI): 4.14/5.
Perceived Enjoyment (PE): 4.43/5.
Perceived Ease of Use (PEOU): 4.37/5.
Perceived Usefulness (PU): 3.89/5.
Intention to Use (ITU): 4.19/5​
</t>
  </si>
  <si>
    <t xml:space="preserve">Software/Platform:
VR mobile app developed based on a game storyboard​
.
Hardware:
Android smartphones + Google Cardboard​
.
Backend:
API integration for dynamic question delivery into the VR world​
.
</t>
  </si>
  <si>
    <t>English Language</t>
  </si>
  <si>
    <t>Typical learners (high school, Yogyakarta)</t>
  </si>
  <si>
    <t>English as a foreign language</t>
  </si>
  <si>
    <t>HMD – mobile (Cardboard)</t>
  </si>
  <si>
    <t>'Motivated me to learn English' M = 3.93; 'app appeals to me' M = 4.43; PI 4.14; PEOU ≈ 4.37 (/5)</t>
  </si>
  <si>
    <t>TAM questionnaire, 11 items (adopted from prior validated studies; no reliability reported)</t>
  </si>
  <si>
    <t>30 high-school students</t>
  </si>
  <si>
    <t>Single trial (duration NR)</t>
  </si>
  <si>
    <t>Motivation rests on single items</t>
  </si>
  <si>
    <t>Cha S.; Tian Y.; Shaalan M.; Hyun J.; Lee K.H.</t>
  </si>
  <si>
    <t>Cha, Sangwhan (57215595531); Tian, Yunze (57468830700); Shaalan, Majid (57215597624); Hyun, Jeongwoo (57468060800); Lee, Ki H. (57468366200)</t>
  </si>
  <si>
    <t>57215595531; 57468830700; 57215597624; 57468060800; 57468366200</t>
  </si>
  <si>
    <t>Proceedings - 2021 IEEE International Conference on Big Data, Big Data 2021</t>
  </si>
  <si>
    <t>10.1109/BigData52589.2021.9671565</t>
  </si>
  <si>
    <t>https://www.scopus.com/inward/record.uri?eid=2-s2.0-85125346674&amp;doi=10.1109%2fBigData52589.2021.9671565&amp;partnerID=40&amp;md5=3262ab5eaab21d93720caab5df6984db</t>
  </si>
  <si>
    <t>Harrisburg University of Science and Technology, Computer Information Science, Harrisburg, United States; Cornell University, Computer Science, New York, NY, United States</t>
  </si>
  <si>
    <t>Cha S., Harrisburg University of Science and Technology, Computer Information Science, Harrisburg, United States; Tian Y., Harrisburg University of Science and Technology, Computer Information Science, Harrisburg, United States; Shaalan M., Harrisburg University of Science and Technology, Computer Information Science, Harrisburg, United States; Hyun J., Cornell University, Computer Science, New York, NY, United States; Lee K.H., Harrisburg University of Science and Technology, Computer Information Science, Harrisburg, United States</t>
  </si>
  <si>
    <t>Virtual learning platforms have extended the learning experience beyond the constraints of space and time. Learning new language skills in virtual environments is becoming more and more convenient and efficient. In this work, learning English as a second language (ESL) is tested. Initial results showed that it is not only efficient to learn ESL with this tool, but it also helped users to develop good interaction skills with the computer-generated 3D world without any fear or shyness. Current virtual learning platforms suffers from distraction inherited by designing learning activities that requires user interaction, such as pressing the keyboard and clicking the mouse to control the avatar and background. In our research work, we employed a new software implementation stack that include a unity virtual environment, an applied Speech Recognition (SR) capability, and a Natural Language Processing (NLP) component to overcome these distractions and improve the Human-Computer Interaction (HCI) capability without the need for a keyboard and mouse for the dynamic avatar's movement and backgrounds. © 2021 IEEE.</t>
  </si>
  <si>
    <t>Natural Language Processing; Speech Recognition; Unity; Virtual Education; Virtual Reality</t>
  </si>
  <si>
    <t>E-learning; Human computer interaction; Natural language processing systems; Space platforms; Speech recognition; User interfaces; English as a second languages (ESL); Learn+; Learning English; Learning experiences; Learning platform; Space and time; Unity; Virtual education; Virtual lab; Virtual learning; Virtual reality</t>
  </si>
  <si>
    <t>Device used:
PC-based VR system using Unity environments​
.
Type of XR:
Fully immersive VR environment.
Not specified as a commercial device like Oculus or CAVE, but assumed PC and screen setup​
.</t>
  </si>
  <si>
    <t xml:space="preserve">No formal survey like SUS or TAM.
Evaluation Method:
Scenario-based observation: measuring reaction time and system responsiveness​
.
</t>
  </si>
  <si>
    <t xml:space="preserve">Students:
Reported more efficient language learning.
Felt more natural communication without keyboards/mouse.
Improved engagement and reduction of shyness​
.
Teachers:
Acted as participants in conversations but not formally evaluated.
</t>
  </si>
  <si>
    <t>Metrics:
System reaction time (latency from command to avatar movement)​
.
User qualitative feedback on naturalness of conversation and interaction.</t>
  </si>
  <si>
    <t xml:space="preserve">Software/Platform:
Unity for 3D virtual environment​
.
Python with Natural Language Toolkit (NLTK) for processing speech​
.
Speech Recognition libraries to interpret voice commands​
.
MySQL database for event and command logging​
.
Hardware:
PC setup (no specific VR headset detailed)​
</t>
  </si>
  <si>
    <t>Check - No specified commercial VR device</t>
  </si>
  <si>
    <t>None (two researchers acting as teacher/student)</t>
  </si>
  <si>
    <t>English as a second language</t>
  </si>
  <si>
    <t>Desktop VR (Unity on PC screen; speech input)</t>
  </si>
  <si>
    <t>Only avatar latency to voice commands tested in predefined scenarios</t>
  </si>
  <si>
    <t>No empirical data</t>
  </si>
  <si>
    <t>Technical prototype evaluation</t>
  </si>
  <si>
    <t>No empirical learner study</t>
  </si>
  <si>
    <t>0 learners</t>
  </si>
  <si>
    <t>E2: No learner data (technical latency test only)</t>
  </si>
  <si>
    <t>No learner data; 'efficient learning / less shyness' claims in abstract are not supported by any study</t>
  </si>
  <si>
    <t>Ali A.; Shahid Z.; Mirza N.M.; Iqbal S.</t>
  </si>
  <si>
    <t>Ali, Adnan (57468833300); Shahid, Zainab (57215306478); Mirza, Nada Masood (59109801800); Iqbal, Saqib (57212034484)</t>
  </si>
  <si>
    <t>57468833300; 57215306478; 59109801800; 57212034484</t>
  </si>
  <si>
    <t>2021 22nd International Arab Conference on Information Technology, ACIT 2021</t>
  </si>
  <si>
    <t>10.1109/ACIT53391.2021.9677136</t>
  </si>
  <si>
    <t>https://www.scopus.com/inward/record.uri?eid=2-s2.0-85125306776&amp;doi=10.1109%2fACIT53391.2021.9677136&amp;partnerID=40&amp;md5=16472fef46bf1b3d20d096e99bcc434b</t>
  </si>
  <si>
    <t>IT Center, Al Ain University, Al Ain, United Arab Emirates; Al Ain, United Arab Emirates; University College, United Arab Emirates University, Al Ain, United Arab Emirates; College of Engineering, Al Ain University, Al Ain, United Arab Emirates</t>
  </si>
  <si>
    <t>Ali A., IT Center, Al Ain University, Al Ain, United Arab Emirates; Shahid Z., Al Ain, United Arab Emirates; Mirza N.M., University College, United Arab Emirates University, Al Ain, United Arab Emirates; Iqbal S., College of Engineering, Al Ain University, Al Ain, United Arab Emirates</t>
  </si>
  <si>
    <t>Humankind has witnessed magnificent outcomes since technology has become part of education at all levels. This paper discusses the application of a newly hyped technology in education called Virtual Reality (VR). Virtual reality is a blend of technologies to provide an interface with a virtual environment. This technology is becoming a vital part of educational applications because educators always tend to lean towards anything which can be beneficial in bringing ease in the explanation of certain topics. It will also not be wrong to say that the usage of such kind of technology is now imperative in comprehending abstract and complex concepts of the present modules of education. In this article, a discussion and comparison have been presented on existing VR-based educational applications, along with a discussion on the development of a new VR application. The purpose of this study was to amplify the structure of the virtual way of explaining concepts to the younger students. The newly developed application improves upon the existing applications and presents an enhanced learning platform. According to the survey conducted from the application users, it can be easily deduced that the developed application had a better rating in the user interface as compared to the already existing ones, and its clearly visible that the VR has made it very simple for the younger kids to view and understand the overall concept of water cycle easily. © 2021 IEEE.</t>
  </si>
  <si>
    <t>E-learning; Virtual reality; Water cycle</t>
  </si>
  <si>
    <t>Abstracting; Engineering education; User interfaces; Virtual reality; Developed applications; E - learning; Educational Applications; Enhanced learning; Learning platform; Simple++; Technology in educations; Water cycle; E-learning</t>
  </si>
  <si>
    <t xml:space="preserve">Device used:
Mobile VR headsets (e.g., Google Cardboard, or similar VR viewers for smartphones)​
.
Type of XR:
Mobile-based Virtual Reality (VR)​
</t>
  </si>
  <si>
    <t xml:space="preserve">User Survey:
Questions evaluated fun, comfort, clarity of text, perception of sounds/visuals, and intent to reuse the app​
</t>
  </si>
  <si>
    <t>Students:
Reported having fun, enjoying visuals/sounds, and feeling comfortable using VR​
.
Easier understanding of the water cycle compared to traditional learning​
.
Teachers:
Not formally assessed, but VR is suggested as a tool to enhance teaching.</t>
  </si>
  <si>
    <t xml:space="preserve">Metrics:
User experience survey with yes/no/don't know options.
Evaluated engagement, understanding, and comfort level​
</t>
  </si>
  <si>
    <t xml:space="preserve">Software/Platform:
Custom-built VR app with Unity3D​
.
Hardware:
Smartphones + Google Cardboard or similar VR devices​
.
Special Features:
Robot Companion acting as a guide through the VR environment​
.
Text explanations, animations, and a mini educational game​
</t>
  </si>
  <si>
    <t>General Education</t>
  </si>
  <si>
    <t>School children ('younger kids'; age NR)</t>
  </si>
  <si>
    <t>Earth science (water cycle)</t>
  </si>
  <si>
    <t>VR app; headset type not stated</t>
  </si>
  <si>
    <t>≈90% 'had fun', ≈95% saw/heard something entertaining; ≈95% would use again; only ≈50% found text clear</t>
  </si>
  <si>
    <t>Author-made 6-item yes / don't know / no survey</t>
  </si>
  <si>
    <t>Not reported (survey in 'multiple schools')</t>
  </si>
  <si>
    <t>Single use (duration NR)</t>
  </si>
  <si>
    <t>Text hard to read for many</t>
  </si>
  <si>
    <t>Comparison with other apps is a feature table, not a learner comparison; results only as bar chart %; N not reported</t>
  </si>
  <si>
    <t>Carruth D.W.; Hudson C.; Fox A.A.A.; Deb S.</t>
  </si>
  <si>
    <t>Carruth, Daniel W. (6506142566); Hudson, Christopher (57193952917); Fox, Amelia A. A. (54787700100); Deb, Shuchisnigdha (58973314700)</t>
  </si>
  <si>
    <t>6506142566; 57193952917; 54787700100; 58973314700</t>
  </si>
  <si>
    <t>Lecture Notes in Computer Science (including subseries Lecture Notes in Artificial Intelligence and Lecture Notes in Bioinformatics)</t>
  </si>
  <si>
    <t>10.1007/978-3-030-49698-2_3</t>
  </si>
  <si>
    <t>https://www.scopus.com/inward/record.uri?eid=2-s2.0-85089164020&amp;doi=10.1007%2f978-3-030-49698-2_3&amp;partnerID=40&amp;md5=7860795cd09e9cb1eea31b3127280326</t>
  </si>
  <si>
    <t>Mississippi State University, 39762, MS, United States; The University of Texas at Arlington, Arlington, 76019, TX, United States</t>
  </si>
  <si>
    <t>Carruth D.W., Mississippi State University, 39762, MS, United States; Hudson C., Mississippi State University, 39762, MS, United States; Fox A.A.A., Mississippi State University, 39762, MS, United States; Deb S., The University of Texas at Arlington, Arlington, 76019, TX, United States</t>
  </si>
  <si>
    <t>In the past 50 years, farm producers have increased use of electronic control systems for controlled environment agriculture in greenhouses and animal production. These systems use environmental sensors to automate environmental management of greenhouses and can lead to significantly larger yields. However, mismanagement of a CEA system can also lead to loss of entire crops. Due to the sensitivity of crops in CEA and potential losses, students are rarely allowed to work directly with CEA systems. In order to increase opportunities for students to interact with CEA systems, an immersive virtual greenhouse simulation was created. Implementing realistic interfaces for physical tasks and for the CEA system provides students with ‘hands-on’ training in the virtual greenhouse. However, there are challenges that limit implementation of physical actions and realistic interfaces in virtual reality. We consider interfaces for three types of interactions: system interactions, physical greenhouse interactions, and interactions with the CEA system. Potential interface designs are presented with a discussion of the benefits and costs associated with each design. © 2020, Springer Nature Switzerland AG.</t>
  </si>
  <si>
    <t>Design issues; Education; User interaction in VR and MR; Virtual reality applications</t>
  </si>
  <si>
    <t>Agricultural robots; Crops; E-learning; Electronics industry; Environmental management; Greenhouses; Human computer interaction; Mixed reality; Precision agriculture; Students; Benefits and costs; Controlled environment agricultures; Electronic control systems; Environmental sensor; Immersive virtual reality; Interface designs; Realistic interfaces; System interactions; User interfaces</t>
  </si>
  <si>
    <t xml:space="preserve">Device used:
PC-based VR system with standard VR headsets (e.g., Oculus Rift, HTC Vive — specific model not mentioned)​
.
Type of XR:
Immersive Virtual Reality (VR)​
</t>
  </si>
  <si>
    <t>Scenario-based evaluations:
Student performance judged by success in greenhouse tasks (e.g., planting, environmental control, pest management)​
.
No formal survey like SUS or TAM was applied.</t>
  </si>
  <si>
    <t>Students:
Gained practical skills in managing complex agricultural systems.
Allowed safe practice with environmental control settings​
.
Teachers:
Act as assignment supervisors through the LMS; no direct evaluation of their experience was reported​
.</t>
  </si>
  <si>
    <t xml:space="preserve">Metrics:
Success in plant growth management.
Detection of pest infestations.
Achievement of production targets (biomass and profit)​
.
Evaluation:
Based on completion of learning assignments and accuracy in simulation tasks​
.
</t>
  </si>
  <si>
    <t xml:space="preserve">Software/Platform:
Unity3D for VR development​
.
Learning Management System (LMS) integration​
.
Hardware:
VR headset (unspecified model) + VR-capable PC​
.
Special Features:
Skeuomorphic UI: realistic physical interactions (planting, watering).
Electronic Control System (ECS) simulation: managing virtual climate and crop development​
.
Options for different ECS interfaces (wall-mounted, tablet-based, floating panel)​
</t>
  </si>
  <si>
    <t>Check. 
For RQ2 an LMS records student activities but does not mention specific user assessment tools or instruments.</t>
  </si>
  <si>
    <t>None (design paper)</t>
  </si>
  <si>
    <t>Precision agriculture (greenhouse)</t>
  </si>
  <si>
    <t>HMD – PC-tethered</t>
  </si>
  <si>
    <t>Interface design options only; no user testing</t>
  </si>
  <si>
    <t>Design/development only</t>
  </si>
  <si>
    <t>E2: No learner data (interface design paper)</t>
  </si>
  <si>
    <t>No learner outcome data – design paper</t>
  </si>
  <si>
    <t>Brenner C.; Desportes K.; Hendrix J.O.; Holford M.</t>
  </si>
  <si>
    <t>Brenner, Corinne (57203360592); Desportes, Kayla (57189295760); Hendrix, Jessica Ochoa (59158102800); Holford, Mande (6603644816)</t>
  </si>
  <si>
    <t>57203360592; 57189295760; 59158102800; 6603644816</t>
  </si>
  <si>
    <t>Proceedings of 6th International Conference of the Immersive Learning Research Network, iLRN 2020</t>
  </si>
  <si>
    <t>10.23919/iLRN47897.2020.9155098</t>
  </si>
  <si>
    <t>https://www.scopus.com/inward/record.uri?eid=2-s2.0-85091671712&amp;doi=10.23919%2fiLRN47897.2020.9155098&amp;partnerID=40&amp;md5=c435c67f50260aa89dae3b470ab8e747</t>
  </si>
  <si>
    <t>Director of Learning Killer Snails, New York, United States; New York University, Educational Comm. and Tech, New York, United States; Killer Snails, New York, United States</t>
  </si>
  <si>
    <t>Brenner C., Director of Learning Killer Snails, New York, United States; Desportes K., New York University, Educational Comm. and Tech, New York, United States; Hendrix J.O., Killer Snails, New York, United States; Holford M., Killer Snails, New York, United States</t>
  </si>
  <si>
    <t>Virtual reality (VR) has the potential to foster collaborative science learning, but guidelines for designing in this medium are lacking. This work-in-progress paper explores this gap in the literature through analysis of GeoForge, a multiple-player VR/digital learning experience where users collaboratively explore planetary systems. A mixed-methods study at 3 middle schools used teacher interviews, student survey responses, and student work to examine how GeoForge encouraged information exchange and reflection within small student groups. Our findings indicate students shared ideas and resources, engaged in co-construction, and teachers recognized high student engagement throughout the experience.  © 2020 Immersive Learning Research Network.</t>
  </si>
  <si>
    <t>collaborative learning; Google cardboard; middle school; STEM education; virtual reality</t>
  </si>
  <si>
    <t>User experience; Virtual reality; Information exchanges; Learning experiences; Middle school science; Planetary system; Science learning; Student engagement; Student surveys; Work in progress; Students</t>
  </si>
  <si>
    <t>Should WIP pappers be accepted?</t>
  </si>
  <si>
    <t>Device used:
Google Cardboard VR headsets (cheap, mobile VR)​
.
Type of XR:
Mobile-based Virtual Reality + web-based Digital Science Journal (DSJ)​</t>
  </si>
  <si>
    <t xml:space="preserve">Post-experience student survey:
5-point Likert scale on engagement, collaboration, learning experience​
.
Teacher interviews​
.
Analysis of student journal entries (content analysis for idea sharing and co-construction)​
</t>
  </si>
  <si>
    <t>Students:
Showed higher engagement and collaborative behaviors​
.
Practiced sharing ideas, problem solving, and exploration in the VR world.
Teachers:
Noted increased interest and better classroom dynamics, even among students who usually struggled​
.</t>
  </si>
  <si>
    <t>Survey results:
Mean scores around 3.9–4.0 (out of 5) for collaborative behaviors​
.
Content analysis of student responses (sharing, co-construction of knowledge).</t>
  </si>
  <si>
    <t>Software/Platform:
Custom VR app built to run with Google Cardboard​
.
Personalized Digital Science Journal (DSJ) on a web platform​
.
Hardware:
Smartphones + Google Cardboard​</t>
  </si>
  <si>
    <t>Typical learners, grades 5–8 (3 schools) + 5 teachers</t>
  </si>
  <si>
    <t>Earth &amp; space science (planetary systems)</t>
  </si>
  <si>
    <t>Collaborative behaviours M = 3.12–3.98/5; all teachers reported high engagement/interest (incl. usually disengaged students)</t>
  </si>
  <si>
    <t>Post-survey with items adapted from 'What Happened in the Groups'; teacher interviews (1 coder); journal entries</t>
  </si>
  <si>
    <t>220 students; 5 teachers</t>
  </si>
  <si>
    <t>One class period (~45 min)</t>
  </si>
  <si>
    <t>Students reluctant to read instructions</t>
  </si>
  <si>
    <t>Engagement/motivation evidence is teacher-reported (interviews); convenience sample of 3 schools; work-in-progress</t>
  </si>
  <si>
    <t>Bozzelli G.; Raia A.; Ricciardi S.; De Nino M.; Barile N.; Perrella M.; Tramontano M.; Pagano A.; Palombini A.</t>
  </si>
  <si>
    <t>Bozzelli, Guido (57211374072); Raia, Antonio (57211377379); Ricciardi, Stefano (9734702300); De Nino, Maurizio (23026644900); Barile, Nicola (57500936500); Perrella, Marco (57211377331); Tramontano, Marco (57211376728); Pagano, Alfonsina (55547435300); Palombini, Augusto (56080829100)</t>
  </si>
  <si>
    <t>57211374072; 57211377379; 9734702300; 23026644900; 57500936500; 57211377331; 57211376728; 55547435300; 56080829100</t>
  </si>
  <si>
    <t>Digital Applications in Archaeology and Cultural Heritage</t>
  </si>
  <si>
    <t>10.1016/j.daach.2019.e00124</t>
  </si>
  <si>
    <t>https://www.scopus.com/inward/record.uri?eid=2-s2.0-85073688888&amp;doi=10.1016%2fj.daach.2019.e00124&amp;partnerID=40&amp;md5=2d25bfe8c53a320588b58857c7b316dd</t>
  </si>
  <si>
    <t>Digitalcomoedia, Naples, IT, Italy; CNR, Institute of Technologies applied to Cultural Heritage, Rome, IT, Italy; Department of Biosciences and Territory (DiBT) - University of Molise, Italy</t>
  </si>
  <si>
    <t>Bozzelli G., Digitalcomoedia, Naples, IT, Italy; Raia A., Digitalcomoedia, Naples, IT, Italy; Ricciardi S., Department of Biosciences and Territory (DiBT) - University of Molise, Italy; De Nino M., Digitalcomoedia, Naples, IT, Italy; Barile N., Digitalcomoedia, Naples, IT, Italy; Perrella M., Digitalcomoedia, Naples, IT, Italy; Tramontano M., Digitalcomoedia, Naples, IT, Italy; Pagano A., CNR, Institute of Technologies applied to Cultural Heritage, Rome, IT, Italy; Palombini A., CNR, Institute of Technologies applied to Cultural Heritage, Rome, IT, Italy</t>
  </si>
  <si>
    <t>The ArkaeVision project is aimed at enabling a new way of enjoying Cultural Heritage through a more engaging and culturally-qualified user experience. The main goal is the creation of a technological infrastructure for the permanent enhancement of cultural resources. Hence, ArkaeVision represents a user-centric integrated system able to offer different modalities of exploitation of Cultural Heritage assets, including virtual representations of monuments, works of art and objects, as well as the stories associated to them. ArkaeVision therefore introduces a new communication paradigm, made of game-alike exploration of a 3D environment, virtually reconstructed, with elements of digital fiction and an engaging stortytelling, applied to two case studies: the exploration of the Hera II Temple of Paestum with Virtual Reality (VR) technology, and the exploration of the slab of the Swimmer Tomb with Augmented Reality (AR). The emotional component is fundamental in ArkaeVision, because it generates the motivation and leads people to use immersive viewers, as the HTC Vive, which allow the learning process to be activated more quickly, as many cognitivists and psychologists reported in the latest researches. Also the involvement of users through gamification is well expressed in ArkaeVision. This model of action (and interaction) designed for the public allows to emphasize the role of users through a system that is “guided” by their choices and times, in order to increase users’ engagement within the virtual exploration, and favour the content understanding by direct experience. Evaluations conducted on a preliminary prototype suggested that the communicative approach is very promising for education and engagement into cultural heritage experiences. © 2019</t>
  </si>
  <si>
    <t>Augmented reality; Digital storytelling; Gamification; User experience design; Virtual reality</t>
  </si>
  <si>
    <t>Elsevier Ltd</t>
  </si>
  <si>
    <t>Not Graduate level or Basic Education level metioned</t>
  </si>
  <si>
    <t xml:space="preserve">Devices used:
HTC Vive VR headset (for immersive VR at archaeological sites)​
.
Mobile devices (smartphones/tablets) for AR experiences​
.
Type of XR:
Immersive Virtual Reality (VR).
Augmented Reality (AR)​
</t>
  </si>
  <si>
    <t xml:space="preserve">User Experience (UX) evaluations:
Observations during usage​
.
Paper-based questionnaires assessing engagement, usability, and knowledge​
.
No formal scales like SUS or TAM mentioned, but structured feedback collection was applied.
</t>
  </si>
  <si>
    <t>Users (general public and students):
Expressed high engagement and positive emotional response​
.
Enjoyed the interactive storytelling and immersive exploration​
.
Participants showed increased interest in historical knowledge​
.
Teachers:
Teachers and museum staff supported the educational value but were not directly assessed.</t>
  </si>
  <si>
    <t xml:space="preserve">Metrics:
Observational analysis (comfort, interaction fluency).
Questionnaire data on preferences (e.g., favorite elements like storytelling, visuals)​
.
Engagement scores based on participation and exploration behaviors.
</t>
  </si>
  <si>
    <t xml:space="preserve">Software/Platform:
Custom-built platform ("ArkaeVision").
Unity 3D for VR/AR experiences​
.
Real-time engines, gesture recognition, cybernetic glove interaction​
.
Hardware:
HTC Vive for VR​
.
Smartphones/tablets for AR​
.
Interaction tech:
Behavior trees and finite-state machines for dynamic interaction​
.
Gamification mechanics (rewards, points, challenges) integrated into the platform​
</t>
  </si>
  <si>
    <t>History and Cultural</t>
  </si>
  <si>
    <t>Museum visitors (mean age ≈30; from high schools &amp; universities)</t>
  </si>
  <si>
    <t>Cultural heritage / archaeology</t>
  </si>
  <si>
    <t>HMD – PC-tethered (HTC Vive)</t>
  </si>
  <si>
    <t>89% stayed for the full experience; 98% felt emotionally involved; overall rating 9/10; interaction natural 88%</t>
  </si>
  <si>
    <t>Author-made paper questionnaire + observation protocol</t>
  </si>
  <si>
    <t>70 visitors</t>
  </si>
  <si>
    <t>Single short demo session</t>
  </si>
  <si>
    <t>Motion sickness noted as a limitation</t>
  </si>
  <si>
    <t>Sensitivity</t>
  </si>
  <si>
    <t>Outside basic education: Adult museum visitors (mean age ≈ 30)</t>
  </si>
  <si>
    <t>Informal museum setting, mostly adults; only the VR part was evaluated (AR not tested)</t>
  </si>
  <si>
    <t>Daineko Y.; Ipalakova M.; Tsoy D.; Shaipiten A.; Bolatov Z.; Chinibayeva T.</t>
  </si>
  <si>
    <t>Daineko, Yevgeniya (36060995800); Ipalakova, Madina (56912288100); Tsoy, Dana (57203037057); Shaipiten, Akmedi (57203040710); Bolatov, Zhiger (57194322791); Chinibayeva, Tolganay (57203033842)</t>
  </si>
  <si>
    <t>36060995800; 56912288100; 57203037057; 57203040710; 57194322791; 57203033842</t>
  </si>
  <si>
    <t>10.1007/978-3-319-95270-3_34</t>
  </si>
  <si>
    <t>https://www.scopus.com/inward/record.uri?eid=2-s2.0-85050366011&amp;doi=10.1007%2f978-3-319-95270-3_34&amp;partnerID=40&amp;md5=f6918b1700b8658fed0824b136db3094</t>
  </si>
  <si>
    <t>Department of Computer Engineering and Telecommunication, International IT University, Almaty, 050040, Kazakhstan</t>
  </si>
  <si>
    <t>Daineko Y., Department of Computer Engineering and Telecommunication, International IT University, Almaty, 050040, Kazakhstan; Ipalakova M., Department of Computer Engineering and Telecommunication, International IT University, Almaty, 050040, Kazakhstan; Tsoy D., Department of Computer Engineering and Telecommunication, International IT University, Almaty, 050040, Kazakhstan; Shaipiten A., Department of Computer Engineering and Telecommunication, International IT University, Almaty, 050040, Kazakhstan; Bolatov Z., Department of Computer Engineering and Telecommunication, International IT University, Almaty, 050040, Kazakhstan; Chinibayeva T., Department of Computer Engineering and Telecommunication, International IT University, Almaty, 050040, Kazakhstan</t>
  </si>
  <si>
    <t>The current work demonstrates the use of augmented reality technology for the development of an application that can be employed as an additional teaching tool within physics in secondary educational institutions in Kazakhstan. The application contains a set of problem tasks in “Mechanics”. The physical processes within tasks are visualized with help of augmented reality and this helps pupils to imagine and understand deeper the studied phenomena. One of the advantages and distinctive features of the developed application is that it provides the user interface in Kazakh, Russian and English languages. This corresponds to the multilingual policy adopted by the government of the country. In the article the existing analogs worldwide are presented, development software is described and the main results of the project are discussed. © Springer International Publishing AG, part of Springer Nature 2018.</t>
  </si>
  <si>
    <t>Augmented reality; Physics; Secondary education</t>
  </si>
  <si>
    <t>Physics; User interfaces; Virtual reality; Augmented reality technology; Developed applications; Educational institutions; English languages; Kazakhstan; Physical process; Teaching tools; Augmented reality</t>
  </si>
  <si>
    <t>Springer Verlag</t>
  </si>
  <si>
    <t>Augmented Reality (AR) via mobile or webcam-based systems.
No VR headsets or CAVE VR systems were used.
Marker-based AR using Vuforia with camera input and Unity 3D.</t>
  </si>
  <si>
    <t>Survey of 20 ninth-grade students:
Question: “Is the AR application effective as a supplementary learning tool for physics?”
Results: 89% said it was "rather effective" or "very effective".</t>
  </si>
  <si>
    <t>Effects on students:
Increased motivation and interest in physics.
Improved visual comprehension of complex concepts.
Ability to manipulate parameters and observe real-time results increased involvement.
Effects on teachers (implied):
Supplementary tool for teaching difficult physics concepts.
Facilitates multilingual education (app supports Kazakh, Russian, and English).</t>
  </si>
  <si>
    <t>Qualitative survey results: Effectiveness perception by students.
Observations: Use of AR during task simulations and interaction with variables like velocity and angle.
No quantitative learning outcome metrics reported (e.g., test scores).</t>
  </si>
  <si>
    <t>Technologies used:
Unity 3D: for AR environment and interface development.
Vuforia: for AR marker recognition and 3D object anchoring.
C# and Blender: for scripting behavior and 3D modeling.
Interactive 3D components: Sliders, variable inputs, visual arrows for forces and trajectories.</t>
  </si>
  <si>
    <t>Yevgeniya</t>
  </si>
  <si>
    <t>yevgeniyadaineko@gmail.com</t>
  </si>
  <si>
    <t>Typical learners</t>
  </si>
  <si>
    <t>Physics (mechanics), grade 9</t>
  </si>
  <si>
    <t>Computer application with AR (camera type not stated)</t>
  </si>
  <si>
    <t>Perceived effectiveness: 61.6% very, 27.4% rather effective</t>
  </si>
  <si>
    <t>Single interview question on effectiveness</t>
  </si>
  <si>
    <t>Development + single-group survey</t>
  </si>
  <si>
    <t>20 pupils (grade 9)</t>
  </si>
  <si>
    <t>NR</t>
  </si>
  <si>
    <t>Reported % (e.g., 1.2%, 3.7%) impossible with n = 20 – data inconsistency; motivation = pupils' remarks only</t>
  </si>
  <si>
    <t>Stachurska W.; Witoszek-Kubicka A.; Igras-Cybulska M.</t>
  </si>
  <si>
    <t>Stachurska, Weronika (59139485400); Witoszek-Kubicka, Aleksandra (57218579927); Igras-Cybulska, Magdalena (55658516800)</t>
  </si>
  <si>
    <t>59139485400; 57218579927; 55658516800</t>
  </si>
  <si>
    <t>CEUR Workshop Proceedings</t>
  </si>
  <si>
    <t>https://www.scopus.com/inward/record.uri?eid=2-s2.0-85196053652&amp;partnerID=40&amp;md5=1b278a73ddc1dbe6730ffbc1504386fd</t>
  </si>
  <si>
    <t>AGH University of Krakow, Krakow, Poland; Cracow University of Economics, Krakow, Poland</t>
  </si>
  <si>
    <t>Stachurska W., AGH University of Krakow, Krakow, Poland; Witoszek-Kubicka A., Cracow University of Economics, Krakow, Poland; Igras-Cybulska M., AGH University of Krakow, Krakow, Poland</t>
  </si>
  <si>
    <t>Harmony is considered one of the most challenging and rigorous subjects in music education. This study focuses on the qualitative evaluation of HarmosphereVR, a virtual reality (VR) prototype designed to support the self-learning of harmony through immersive interactive exercises. The methodology included usability testing, reaction cards, and in-depth interviews to collect comprehensive feedback on the application’s effectiveness and user experience. The evaluation engaged six participants (four male and two female participants); half had previously participated in an exploratory interview to identify challenges and needs in learning harmony at music schools before the application was designed, while the rest of the participants were not acquainted with the project. The findings suggest that VR can serve as an auxiliary tool in music education, providing an engaging and effective platform for mastering complex theoretical concepts. © 2022 Copyright for this paper by its authors.</t>
  </si>
  <si>
    <t>Harmony; Music Education; Qualitative Evaluation; Reaction cards; User-centered Design; Virtual Reality</t>
  </si>
  <si>
    <t>E-learning; Music; User centered design; Harmony; Immersive; In-depth interviews; Interactive exercise; Music education; Qualitative evaluations; Reaction card; Self-learning; Usability testing; User study; Virtual reality</t>
  </si>
  <si>
    <t>CEUR-WS</t>
  </si>
  <si>
    <t>InOurScope</t>
  </si>
  <si>
    <t>Basic Education</t>
  </si>
  <si>
    <t>João</t>
  </si>
  <si>
    <t>Musical Education context</t>
  </si>
  <si>
    <t>Technology used:
Meta Quest 2 VR headset.
6DOF (six degrees of freedom) VR environment.
No use of CAVE VR or desktop/AR environments—this is fully immersive VR.</t>
  </si>
  <si>
    <t>Usability testing (observations and interaction logging).
Reaction cards (participants selected adjectives to describe their experience).
In-depth interviews with structured follow-up questions.
Data clustered into themes for qualitative analysis.</t>
  </si>
  <si>
    <t>Effects on students:
Participants (mostly first-time VR users) had a positive reaction, noting the experience was engaging and easy to learn.
Improved conceptual grasp of harmony via immersive sound-visual feedback.
Suggested gamification (scores, challenges) could further improve engagement.
Effects on teachers (indirect):
Offers a complementary tool to traditional methods.
Helps address the lack of interactive harmony-focused resources in education.</t>
  </si>
  <si>
    <t>Adjective choice frequency (from 39 reaction cards) — e.g., “understandable,” “useful,” “intuitive.”
Thematic clustering of feedback from interviews.
Observational metrics: time to adapt to controls, task completion, user behavior.
No formal numerical scores or knowledge tests reported.</t>
  </si>
  <si>
    <t>Technologies used:
Unity engine (for application development).
Meta Quest 2 (hardware).
VR piano keyboard with visual music staff and real-time audio feedback.
Smooth locomotion + vignette to reduce motion sickness.</t>
  </si>
  <si>
    <t>STEAM</t>
  </si>
  <si>
    <t>Weronika</t>
  </si>
  <si>
    <t>weronasta@student.agh.edu.pl</t>
  </si>
  <si>
    <t>Music-school students &amp; recent graduates, ages 18–22</t>
  </si>
  <si>
    <t>Music (harmony)</t>
  </si>
  <si>
    <t>Reaction cards: 'understandable', 'interesting', 'captivating', 'useful'; wanted to use longer; no discomfort</t>
  </si>
  <si>
    <t>Reaction cards; interviews; observation</t>
  </si>
  <si>
    <t>Qualitative user study</t>
  </si>
  <si>
    <t>6 participants (ages 18–22)</t>
  </si>
  <si>
    <t>One session, ~45 min</t>
  </si>
  <si>
    <t>None (no discomfort reported)</t>
  </si>
  <si>
    <t>Outside basic education: Participants aged 18–22 (music-school students/graduates)</t>
  </si>
  <si>
    <t>Snowball sample of young adults; qualitative only</t>
  </si>
  <si>
    <t>Sui Q.; Sui L.</t>
  </si>
  <si>
    <t>Sui, Qiao (57575969700); Sui, Li (57576400400)</t>
  </si>
  <si>
    <t>57575969700; 57576400400</t>
  </si>
  <si>
    <t>2024 13th International Conference on Educational and Information Technology, ICEIT 2024</t>
  </si>
  <si>
    <t>10.1109/ICEIT61397.2024.10540855</t>
  </si>
  <si>
    <t>https://www.scopus.com/inward/record.uri?eid=2-s2.0-85195683071&amp;doi=10.1109%2fICEIT61397.2024.10540855&amp;partnerID=40&amp;md5=867d699250877711546b4e45774bd3d8</t>
  </si>
  <si>
    <t>Quzhou University, Dept. College of Teacher Education, Quzhou, China; Dept. Huaiyin Middle School, Huaian, China</t>
  </si>
  <si>
    <t>Sui Q., Quzhou University, Dept. College of Teacher Education, Quzhou, China; Sui L., Dept. Huaiyin Middle School, Huaian, China</t>
  </si>
  <si>
    <t>With the continuous advancement of science and technology, the application of virtual reality (VR) technology in the field of education has become increasingly attractive. This study explores the impact mechanisms of interactive experiences and perceived value on user satisfaction in VR education. An experimental study of ninth-grade students at Huaiyin Middle School found that an excellent interactive experience and perceived value significantly impact user satisfaction. In terms of interactive experience, users can more easily engage in learning activities and improve subject understanding and skill mastery by designing a more immersive and engaging interaction mode. In terms of perceived value, users' perception of the actual value and benefits of virtual learning is directly related to satisfaction and learning effectiveness. These findings provide empirical support for optimizing the design of VR education systems. By in-depth studying the impact mechanism of interactive experience and perceived value on user satisfaction, this study aims to provide helpful guidance and inspiration for designing and implementing VR education systems and promote the development and application of virtual learning in education. © 2024 IEEE.</t>
  </si>
  <si>
    <t>interactive experience; perceived value; user satisfaction; VR education</t>
  </si>
  <si>
    <t>E-learning; Engineering education; Learning systems; User interfaces; Education systems; Experience values; Impact mechanism; Interactive experience; Perceived value; Science and Technology; Users' satisfactions; Virtual learning; Virtual reality education; Virtual reality technology; Virtual reality</t>
  </si>
  <si>
    <t>The study specifically used:
A VR system: "Science Science Exhibition of VR Animal Evolution" developed by Beijing Huirui Viewpoint.
No mention of CAVE VR (CAVE = Cave Automatic Virtual Environment) systems — only head-mounted VR devices were implied.
The VR system had gesture recognition and controller feedback features for interaction.</t>
  </si>
  <si>
    <t>he paper used questionnaires with Likert scales to assess:
Interactive experience (immersion, participation, friendliness)
Perceived value (content usefulness, novelty, application)
Learning effects (knowledge absorption, skill mastery)
Overall satisfaction and willingness to continue using VR
Data analysis tools:
SPSS (for descriptive statistics, reliability, validity)
AMOS (for Structural Equation Modeling - SEM)</t>
  </si>
  <si>
    <t>Effects on students:
Higher engagement and immersion during learning activities.
Improved understanding, memory, and skills related to the subject.
Increased satisfaction and willingness to continue using VR for education.
Effects on teachers (implied, not directly studied):
Potential to design more effective and customized educational content.
Need to consider personalization for different student groups based on their feedback.</t>
  </si>
  <si>
    <t>Metrics included:
Immersion (subjective feeling of being in the environment)
Participation (level of active involvement)
Interface friendliness (ease of interaction)
Perceived content value (usefulness, novelty, application)
Learning outcomes (knowledge absorption, skill mastery)
Overall satisfaction (likelihood of reuse and recommendation)
Measurement scale: 1 to 5 Likert scale (1=very poor to 5=very good)</t>
  </si>
  <si>
    <t>Technologies mentioned:
Virtual Reality (VR) platforms (not Augmented or Mixed Reality in this case)
Gesture recognition
Controller feedback systems
Immersive virtual environments designed for education-specific content.</t>
  </si>
  <si>
    <t>Education</t>
  </si>
  <si>
    <t>Check, but could'nt validade REQ1 and REQ5</t>
  </si>
  <si>
    <t>Typical learners (grade 9, mean age 15)</t>
  </si>
  <si>
    <t>Biology (animal evolution), grade 9</t>
  </si>
  <si>
    <t>VR system; headset not stated</t>
  </si>
  <si>
    <t>Authors report positive association of interactive experience &amp; perceived value with satisfaction; no item means or path coefficients reported</t>
  </si>
  <si>
    <t>Not reported (only CFA fit: χ²/df = 2.13, RMSEA = .071, CFI = .95)</t>
  </si>
  <si>
    <t>Author-made 15-item questionnaire (α = .79–.92; KMO = .875; CFA)</t>
  </si>
  <si>
    <t>Cross-sectional survey (SEM)</t>
  </si>
  <si>
    <t>225 valid questionnaires (230 sampled from 17 classes)</t>
  </si>
  <si>
    <t>Satisfaction level and hypothesis tests not reported; '120 distributed, 225 collected' inconsistency; associational design</t>
  </si>
  <si>
    <t>Tan B.S.; Ong S.H.; Andrew K.H.T.; Wong T.L.; Bai P.S.; Rao A.P.</t>
  </si>
  <si>
    <t>Tan, Bee Sian (58908987500); Ong, Shen Hoi (59380620800); Andrew, Khin Huat Tan (59380927800); Wong, Thein Lai (57440950200); Bai, P Sharimila (59380316000); Rao, AP Pandurenga (59380777200)</t>
  </si>
  <si>
    <t>58908987500; 59380620800; 59380927800; 57440950200; 59380316000; 59380777200</t>
  </si>
  <si>
    <t>Pakistan Journal of Life and Social Sciences</t>
  </si>
  <si>
    <t>10.57239/PJLSS-2024-22.2.00556</t>
  </si>
  <si>
    <t>https://www.scopus.com/inward/record.uri?eid=2-s2.0-85207260177&amp;doi=10.57239%2fPJLSS-2024-22.2.00556&amp;partnerID=40&amp;md5=22c640bcbf6a9c19da4eb3c263bc5617</t>
  </si>
  <si>
    <t>Tunku Abdul Rahman University of Management and Technology, Kuala Lumpur, Malaysia</t>
  </si>
  <si>
    <t>Tan B.S., Tunku Abdul Rahman University of Management and Technology, Kuala Lumpur, Malaysia; Ong S.H., Tunku Abdul Rahman University of Management and Technology, Kuala Lumpur, Malaysia; Andrew K.H.T., Tunku Abdul Rahman University of Management and Technology, Kuala Lumpur, Malaysia; Wong T.L., Tunku Abdul Rahman University of Management and Technology, Kuala Lumpur, Malaysia; Bai P.S., Tunku Abdul Rahman University of Management and Technology, Kuala Lumpur, Malaysia; Rao A.P., Tunku Abdul Rahman University of Management and Technology, Kuala Lumpur, Malaysia</t>
  </si>
  <si>
    <t>Traditional English learning environments in university often hindered by outdated focus on reading and writing, limited textbook content, insufficient speaking practice opportunities, and pre-programmed artificial intelligence (AI) in English speaking practice. This study explores the potential of leveraging VR technologies and generative AI (GenAI) to overcome these barriers. EasyEnglish is a real-time conversation game with GenAI non-player character (NPC)s. This game utilizes voice input recognition, large language model (LLM) for language assessment and text-to-speech (TTS) for NPC lip-sync animation. The content validity was assessed by 3 experts to evaluate the conversation quality. A usability test was conducted using a purposive sampling method with 7 undergraduate non-native English speakers who have less than 1 year experience in using VR technology. This study employed System Usability Scale (SUS) and Content Validity Index (CVI) metrics for assessment. The CVI result showed satisfactory agreement in conversation quality but highlighted areas for improvement in learning objectives. The SUS result revealed satisfaction in consistency of user interface (UI) and learnability of EasyEnglish, while also highlighting the need for improvement in UI, setup, and visual cues. The significance of the study lies in the GenAI's ability to provide diverse response, avoid repetitive dialogue and speak using gestures to undergraduate students. GenAI effectively identify and assess irrelevant words in conversation, provide immediate grammar and vocabulary correction and suggestion of conversation improvement accurately. Future research should focus on improving accessibility, include more multimodal interactions, and mapping learning objectives with the soft skills emphasized by the World Economic Forum (WEF). © (2024), (Elite Scientific Publications). All rights reserved.</t>
  </si>
  <si>
    <t>Education; Educational Technology; English Language; Generative Artificial Intelligence; Virtual Reality</t>
  </si>
  <si>
    <t>Elite Scientific Publications</t>
  </si>
  <si>
    <t>Device used: Meta Quest 2 VR headset (fully immersive VR).
No CAVE or AR systems were involved.</t>
  </si>
  <si>
    <t>System Usability Scale (SUS): Collected from 7 university students.
Content Validity Index (CVI): From 3 expert raters assessing grammar, vocabulary, coherence, relevance, audience appropriateness, and overall quality.
Open-ended interviews and observation: Provided additional qualitative insight.</t>
  </si>
  <si>
    <t xml:space="preserve">Effects on students:
Reported realism and engagement in NPC interaction.
Learned grammar and vocabulary through feedback and in-world tasks.
Found UI complex at times and suffered from motion sickness, indicating the need for better UX.
Effects on teachers:
Can design personalized lessons using AI prompts.
Can track learner performance and adapt content, but setup and design process needs refinement.
</t>
  </si>
  <si>
    <t>SUS score: 50.71 out of 100 (moderate usability).
I-CVI, S-CVI/Ave, S-CVI/UA: Assessed content validity (average ~0.89).
Qualitative feedback on:
UI complexity
Confidence in using the app
Game feedback cues (e.g., visual/auditory signals for progress)</t>
  </si>
  <si>
    <t>Technologies mentioned:
Unity 3D (VR development)
OpenAI’s ChatGPT (language processing and error correction)
Whisper API (speech-to-text)
TTS-1 API (text-to-speech with lip sync)
Oculus Lip Sync (NPC animation)
Ready Player Me (custom avatars)
C# REST APIs for integrating GenAI into the game environment</t>
  </si>
  <si>
    <t>Language Learning</t>
  </si>
  <si>
    <t>Bee Sian</t>
  </si>
  <si>
    <t>tanbs@tarc.edu.my</t>
  </si>
  <si>
    <t>Typical learners (undergraduates, ages 18–25)</t>
  </si>
  <si>
    <t>English speaking (GenAI NPCs)</t>
  </si>
  <si>
    <t>SUS = 50.71 (marginal); neutral on using it frequently; majority found the game interesting; CVI S-CVI/Ave = .89</t>
  </si>
  <si>
    <t>SUS (standard); Content Validity Index (3 experts); interviews</t>
  </si>
  <si>
    <t>Single-group usability study</t>
  </si>
  <si>
    <t>7 students; 3 experts</t>
  </si>
  <si>
    <t>Single session, 10–15 min</t>
  </si>
  <si>
    <t>Motion sickness with continuous locomotion; UI frustration</t>
  </si>
  <si>
    <t>Outside basic education: Undergraduate students</t>
  </si>
  <si>
    <t>Undergraduates – outside basic education; motivation evidence is qualitative</t>
  </si>
  <si>
    <t>Vashisht S.</t>
  </si>
  <si>
    <t>Vashisht, Sanchit (58222197000)</t>
  </si>
  <si>
    <t>2nd International Conference on Intelligent Cyber Physical Systems and Internet of Things, ICoICI 2024 - Proceedings</t>
  </si>
  <si>
    <t>10.1109/ICoICI62503.2024.10696244</t>
  </si>
  <si>
    <t>https://www.scopus.com/inward/record.uri?eid=2-s2.0-85207206514&amp;doi=10.1109%2fICoICI62503.2024.10696244&amp;partnerID=40&amp;md5=0255c9a51708a670f46842ecb6f29ed3</t>
  </si>
  <si>
    <t>Chitkara University Institute of Engineering and Technology, Chitkara University, Department of Computer Science and Engineering, Punjab, India</t>
  </si>
  <si>
    <t>Vashisht S., Chitkara University Institute of Engineering and Technology, Chitkara University, Department of Computer Science and Engineering, Punjab, India</t>
  </si>
  <si>
    <t>In a captivating and immersive environment, StellarScape users may explore the solar system's depths with the aid of state-of-the-art augmented reality technology. Using AR cubes, users may explore our solar system's planets, moons, and other celestial bodies in three dimensions and learn more about their unique traits, lifestyles, and historical significance. StellarScape was created following a comprehensive analysis of the solar system, ensuring the precision and depth of the program's expertise. The development team chose the content for StellarScape, consulting with renowned experts in education and astronomy. The content features enticing images, captivating narrative audio, and educational text. This increased the instructional value of the application. The user interface and experience (UI/UX) of StellarScape have been created to be simple, easy to use, and entertaining for people of all ages and backgrounds. Usability and accessibility have received a lot of our attention. The AR cubes become interactive markers when seen through a device that supports augmented reality (AR). This allows users to engage with virtual material relevant to each celestial body, promoting exploration and learning through hands-on experiences. An innovative educational platform called StellarScape uses augmented reality to spark users' interest, make learning easier, and encourage a passion for science research that lasts a lifetime. As augmented reality technology develops, programs like StellarScape may have a significant impact on education. StellarScape gives us new opportunity to learn about the solar system and beyond through immersive and interactive experiences. This creates an opportunity for an educational setting where conventional boundaries are dismantled and the limitless possibilities of augmented reality are fully realized. © 2024 IEEE.</t>
  </si>
  <si>
    <t>Augmented Reality; Education; Immersive technologies; Mixed Reality; Science; Virtual Reality</t>
  </si>
  <si>
    <t>Augmented reality; Mixed reality; Virtual environments; Augmented reality technology; Celestial bodies; Immersive environment; Immersive technologies; Learn+; Mixed reality; Science; Solar system planets; State of the art; Three dimensions; Solar system</t>
  </si>
  <si>
    <t>AR Cube System: Physical cubes with markers that trigger augmented reality models (viewed through smartphones/tablets).
No use of CAVE VR (Cave Automatic Virtual Environment) was mentioned.
The focus is purely on Augmented Reality (AR) using handheld devices.</t>
  </si>
  <si>
    <t>In this paper, no formal user assessment tool (like surveys, SEM, SPSS analysis) was applied yet.
The study is more focused on development and design of the StellarScape app.
Related studies cited show that other AR studies used surveys to assess comprehension, motivation, critical thinking, and user satisfaction (based on previous research, not StellarScape yet).</t>
  </si>
  <si>
    <t>Effects on students:
Boosted engagement with scientific subjects (like astronomy).
Deepened understanding of planetary systems and cosmic phenomena.
Increased motivation, curiosity, and enjoyment in learning science.
Improved collaboration through group interactions using AR cubes.
Effects on teachers (implied):
Teachers can customize AR content according to curriculum needs.
Provides new creative methods for explaining abstract concepts.</t>
  </si>
  <si>
    <t>In this case:
No experiments or metrics reported yet for StellarScape directly.
However, referenced research used metrics like:
Engagement levels.
Retention and comprehension scores.
Critical thinking ability.
Student motivation and interest.</t>
  </si>
  <si>
    <t>Technologies mentioned:
Unity 3D: Game engine for AR app development.
Vuforia: AR development SDK for recognizing markers and overlaying content.
Blender 3D: 3D modeling for planets, moons, and asteroids.
Adobe Photoshop: For creating and editing textures and images.
Devices: Smartphones and tablets with AR capabilities (cameras and sensors).</t>
  </si>
  <si>
    <t>Check.
For RQ2 the article does not describe assessment tools used, but presents a survey of related works that measured.</t>
  </si>
  <si>
    <t>None (development paper)</t>
  </si>
  <si>
    <t>Astronomy (solar system)</t>
  </si>
  <si>
    <t>Development only</t>
  </si>
  <si>
    <t>E2: No learner data (development paper)</t>
  </si>
  <si>
    <t>No evaluation; country = author affiliation (India); old RQ5–7 data for this row (USA, K-8) was wrong</t>
  </si>
  <si>
    <t>Vaze A.; Morris A.; Clarke I.</t>
  </si>
  <si>
    <t>Vaze, Aaditya (58261905300); Morris, Alexis (57213247008); Clarke, Ian (58261163700)</t>
  </si>
  <si>
    <t>58261905300; 57213247008; 58261163700</t>
  </si>
  <si>
    <t>Proceedings - 2024 IEEE International Conference on Artificial Intelligence and eXtended and Virtual Reality, AIxVR 2024</t>
  </si>
  <si>
    <t>10.1109/AIxVR59861.2024.00013</t>
  </si>
  <si>
    <t>https://www.scopus.com/inward/record.uri?eid=2-s2.0-85187231317&amp;doi=10.1109%2fAIxVR59861.2024.00013&amp;partnerID=40&amp;md5=6890cd9ac39d85f3dbe3537ca00ffd1c</t>
  </si>
  <si>
    <t>Ocad University, Adaptive Context Environments Lab, Toronto, Canada; Ocad University, Faculty of Arts and Science, Toronto, Canada</t>
  </si>
  <si>
    <t>Vaze A., Ocad University, Adaptive Context Environments Lab, Toronto, Canada; Morris A., Ocad University, Adaptive Context Environments Lab, Toronto, Canada; Clarke I., Ocad University, Faculty of Arts and Science, Toronto, Canada</t>
  </si>
  <si>
    <t>The educational landscape is undergoing a fundamental shift towards a learner-centric model, emphasizing engagement, interaction, and personalization in the learning process. This study investigates new technologies that enable immersive, self-guided, and curiosity-driven educational experiences, addressing these crucial elements. The research delves into Mixed Reality (MR) as a tool for constructing a context-aware system that nurtures learners' inquisitiveness while enhancing memory retention. The paper presents the design and development of "Curiosity XR,"an MR headset application created using a research-through-design methodology, acting as a platform for educators to develop contextual and multi-modal interactive mini-lessons. Learners can engage with these lessons and also benefit from AI-supported learning content. The evaluation of this design involves a user participant study and subsequent interviews, revealing greater engagement levels, increased curiosity to learn, and improved visual content retention among participants. This work aims to encourage further exploration within the MR domain and promote the integration of MR and AI for the advancement of curiosity-driven education. © 2024 IEEE.</t>
  </si>
  <si>
    <t>Artificial Intelligence; Education; Human-computer Interaction; Mixed Reality</t>
  </si>
  <si>
    <t>Artificial intelligence; Human computer interaction; Learning systems; User interfaces; Context-Aware; Context-aware systems; Design and Development; Design Methodology; Educational experiences; Immersive; Learning process; Memory retention; Mixed reality; Personalizations; Mixed reality</t>
  </si>
  <si>
    <t>Devices used:
Microsoft HoloLens 2 (Mixed Reality headset)
Meta Quest Pro (with color passthrough capabilities for Mixed Reality)
No CAVE VR environment was used — focus was purely on head-mounted MR devices.</t>
  </si>
  <si>
    <t>Pre-session and post-session surveys (knowledge and experience assessments).
User interviews to collect qualitative feedback.
Recall tests (after a week) to measure knowledge retention.
Evaluation criteria included learning effectiveness, engagement, ease of use, rated 1-5.</t>
  </si>
  <si>
    <t>Effects on students:
Higher engagement and immersion during lessons.
Better knowledge retention and higher curiosity.
Minor challenges: issues with gesture and voice recognition affected ease of use.
Effects on teachers:
The MR system allows easy lesson creation (through templates).
Enables customization based on real-world objects and user interests.
Offers a new interaction model where learning is user-driven rather than teacher-driven.</t>
  </si>
  <si>
    <t>Learning effectiveness (scale 1–5)
User engagement level (scale 1–5)
Ease of use (scale 1–5)
Knowledge retention (assessed via a recall test after one week)
Curiosity support (assessed through participant feedback)</t>
  </si>
  <si>
    <t>Technologies used:
Unity (for MR app development).
Oculus SDK (for Meta Quest).
Zed Mini depth sensor (for 3D object detection and spatial mapping).
Wit.ai (for speech recognition and intent detection).
GPT-3 AI (for generating dynamic lesson content based on objects).
Multimodal Interaction (gaze, gestures, speech, tactile interaction).
Cloud-based context-aware agents (for real-time scene understanding and learning adaptation).</t>
  </si>
  <si>
    <t>University participants (age NR)</t>
  </si>
  <si>
    <t>Plant cells mini-lesson (science)</t>
  </si>
  <si>
    <t>HMD – MR (HoloLens 2 / Quest Pro)</t>
  </si>
  <si>
    <t>Per-participant engagement ratings ≈4–5/5 (figure); perceived effectiveness M = 3.5/5; authors: no definitive conclusion on curiosity or recall</t>
  </si>
  <si>
    <t>Author-made 1–5 ratings from 'questionnaire transcription notes'; recall test; interviews</t>
  </si>
  <si>
    <t>6 participants</t>
  </si>
  <si>
    <t>One 40-min MR session + 15-min recall session 1 week later</t>
  </si>
  <si>
    <t>Voice and gesture recognition failures</t>
  </si>
  <si>
    <t>Outside basic education: University participants</t>
  </si>
  <si>
    <t>MR then laptop in fixed order, comparison results not reported; university context – outside basic education</t>
  </si>
  <si>
    <t>Xia X.; Liang J.; Zhao R.; Zhao Z.; Wu M.; Li Y.; Liang H.-N.</t>
  </si>
  <si>
    <t>Xia, Xuansheng (58774881400); Liang, Jiachen (58237520000); Zhao, Ruixiang (58775077600); Zhao, Ziyue (58260678900); Wu, Mingze (58774832200); Li, Yue (57205203447); Liang, Hai-Ning (8636386200)</t>
  </si>
  <si>
    <t>58774881400; 58237520000; 58775077600; 58260678900; 58774832200; 57205203447; 8636386200</t>
  </si>
  <si>
    <t>Proceedings - 2023 IEEE International Symposium on Mixed and Augmented Reality Adjunct, ISMAR-Adjunct 2023</t>
  </si>
  <si>
    <t>10.1109/ISMAR-Adjunct60411.2023.00180</t>
  </si>
  <si>
    <t>https://www.scopus.com/inward/record.uri?eid=2-s2.0-85180371809&amp;doi=10.1109%2fISMAR-Adjunct60411.2023.00180&amp;partnerID=40&amp;md5=4f363c3f1f8bfaf0057047a27ec19a7d</t>
  </si>
  <si>
    <t>Xi'an Jiaotong-Liverpool University, School of Advanced Technology, China</t>
  </si>
  <si>
    <t>Xia X., Xi'an Jiaotong-Liverpool University, School of Advanced Technology, China; Liang J., Xi'an Jiaotong-Liverpool University, School of Advanced Technology, China; Zhao R., Xi'an Jiaotong-Liverpool University, School of Advanced Technology, China; Zhao Z., Xi'an Jiaotong-Liverpool University, School of Advanced Technology, China; Wu M., Xi'an Jiaotong-Liverpool University, School of Advanced Technology, China; Li Y., Xi'an Jiaotong-Liverpool University, School of Advanced Technology, China; Liang H.-N., Xi'an Jiaotong-Liverpool University, School of Advanced Technology, China</t>
  </si>
  <si>
    <t>With Virtual Reality Head-Mounted Displays (VR HMDs) establishing themselves as a potent platform for collaborative tasks, their cross-reality capability and cross-domain applicability remain largely unexplored. This study intends to assess the effectiveness of cross-reality collaboration systems using a VR HMD and a desktop PC across three disparate sectors: museum visiting, chemical education, and assisted rehabilitation. The systems were designed to support social interactions and scenario-specific collaborative tasks. Evaluation of the systems showed above-average system usability and user experience. By probing into these varied environments, our study offers a comprehensive understanding of the applicability of such collaborative cross-reality systems in real scenarios, potentially fostering more immersive, efficient, and enriching multi-field applications of cross-reality technologies.  © 2023 IEEE.</t>
  </si>
  <si>
    <t>education; museums; rehabilitation; virtual reality</t>
  </si>
  <si>
    <t>E-learning; Helmet mounted displays; User interfaces; Average system; Chemical education; Collaboration systems; Collaborative tasks; Cross-domain; Head-mounted-displays; Social interactions; Social scenarios; System usability; Users' experiences; Virtual reality</t>
  </si>
  <si>
    <t>Devices used:
Meta Quest 2 VR headset (Virtual Reality HMD)
Desktop PCs (non-immersive version)
No use of CAVE VR; focus is on VR headsets + regular PCs.
Systems developed in Unity 2021.3.6, supporting synchronized VR-PC experiences.</t>
  </si>
  <si>
    <t>System Usability Scale (SUS) questionnaire (standard UX measure).
User Experience Questionnaire Short version (UEQ-S).
Paired t-tests used for statistical analysis.
Participants rated usability, pragmatic quality, and hedonic quality after sessions.</t>
  </si>
  <si>
    <t>Effects on students (VR users):
Highly immersive experience during chemistry experiments.
Better engagement and understanding of practical tasks.
Collaborative experience improved learning satisfaction.
Effects on teachers/instructors (PC users):
Ability to guide and support remotely.
PC users had a slightly lower user experience rating compared to VR users (felt less immersive/fun).
System design allowed dynamic role management (instructor/experimenter).</t>
  </si>
  <si>
    <t xml:space="preserve">System Usability Scale (SUS) score (threshold 68 for good usability — all scenarios exceeded it).
UEQ-S for user experience:
Pragmatic quality (ease of use, task support)
Hedonic quality (fun, stimulation, creativity)
Qualitative feedback during and after experiments.
</t>
  </si>
  <si>
    <t>Technologies used:
Unity (for developing VR/PC applications).
Meta Quest 2 (for VR user).
High-end PC hardware (Intel i7-12700K CPU, RTX 3080 GPU).
Cross-platform synchronization between VR and PC users.
Teleport locomotion and 3D object manipulation (grab, rotate, scale) in VR and PC environments.</t>
  </si>
  <si>
    <t>Young adults aged 21–24 (M = 22.3)</t>
  </si>
  <si>
    <t>Chemistry lab (acid–base titration) + museum + rehabilitation</t>
  </si>
  <si>
    <t>HMD – standalone (Quest 2) vs desktop PC</t>
  </si>
  <si>
    <t>SUS &gt; 68 in all 3 scenarios; UEQ-S overall higher for VR than PC in chemistry lab, t(5) = 3.107, p = .027</t>
  </si>
  <si>
    <t>dz ≈ 1.27 (computed by reviewer from t(5) = 3.107, n = 6; UEQ-S overall, chemistry)</t>
  </si>
  <si>
    <t>SUS; UEQ-S</t>
  </si>
  <si>
    <t>6 participants (36 SUS/UEQ sets)</t>
  </si>
  <si>
    <t>One session, ~50 min (3 scenarios)</t>
  </si>
  <si>
    <t>Complex interactions confusing on PC side</t>
  </si>
  <si>
    <t>Outside basic education: Young adults aged 21–24</t>
  </si>
  <si>
    <t>Adults, not school learners; multi-domain study (only chemistry scenario is educational); satisfaction coded from UEQ-S overall UX</t>
  </si>
  <si>
    <t>Wu L.; Chen K.B.; Sekelsky B.; Peterson M.; Harper-Gampp T.; Delgado C.</t>
  </si>
  <si>
    <t>Wu, Linfeng (58035928900); Chen, Karen B. (56340607100); Sekelsky, Brian (58261079000); Peterson, Matthew (57189226800); Harper-Gampp, Tyler (58262313200); Delgado, Cesar (23093747600)</t>
  </si>
  <si>
    <t>58035928900; 56340607100; 58261079000; 57189226800; 58262313200; 23093747600</t>
  </si>
  <si>
    <t>Proceedings - 2023 IEEE Conference on Virtual Reality and 3D User Interfaces Abstracts and Workshops, VRW 2023</t>
  </si>
  <si>
    <t>10.1109/VRW58643.2023.00203</t>
  </si>
  <si>
    <t>https://www.scopus.com/inward/record.uri?eid=2-s2.0-85159690491&amp;doi=10.1109%2fVRW58643.2023.00203&amp;partnerID=40&amp;md5=ee7e78367713c54e3c9603ae2f96ad97</t>
  </si>
  <si>
    <t>Industrial and Systems Engineering, North Carolina State University, United States; Graphic and Experience Design, North Carolina State University, United States; Science, Technology, Engineering, and Mathematics Education, North Carolina State University, United States</t>
  </si>
  <si>
    <t>Wu L., Industrial and Systems Engineering, North Carolina State University, United States; Chen K.B., Industrial and Systems Engineering, North Carolina State University, United States; Sekelsky B., Graphic and Experience Design, North Carolina State University, United States; Peterson M., Graphic and Experience Design, North Carolina State University, United States; Harper-Gampp T., Science, Technology, Engineering, and Mathematics Education, North Carolina State University, United States; Delgado C., Science, Technology, Engineering, and Mathematics Education, North Carolina State University, United States</t>
  </si>
  <si>
    <t>Virtual reality (VR) has been widely used for education and affords embodied learning experiences. Here we describe: Scale Worlds (SW), an immersive virtual environment to allow users to shrink or grow by powers of ten (10X) and experience entities from molecular to astronomical levels; and students' impressions and outcomes from experiencing SW in a CAVE (Figure 1) during experiential summer outreach sessions. Data collected from post-visit surveys of 69 students, and field observations, revealed that VR technologies: enabled interactive learning experiences; encouraged active engagement and discussions among participating students; enhanced the understanding of size and scale; and increased interest in STEM careers.  © 2023 IEEE.</t>
  </si>
  <si>
    <t>CAVE; education application; scale cognition; User experience; virtual reality; Virtual reality (VR)</t>
  </si>
  <si>
    <t>Caves; E-learning; Students; User interfaces; Education application; Field observations; Immersive virtual environments; Learning experiences; Power; Scale cognition; Students' observations; Summer camp; Users' experiences; Virtual reality; Virtual reality</t>
  </si>
  <si>
    <t xml:space="preserve">CaveVR </t>
  </si>
  <si>
    <t>Device used: CAVE (Cave Automatic Virtual Environment), a large immersive VR environment.
Active 3D glasses (tracked) for one student at a time; other students wore passive 3D glasses.
Application: Scale Worlds (SW), an interactive VR platform to explore scaling from molecular to astronomical sizes.</t>
  </si>
  <si>
    <t>Post-visit survey for 69 students:
4 Likert-scale questions (enjoyment, learning, VR effectiveness, understanding of scale)
1 multiple-choice question about interest in STEM careers
4 short-answer qualitative questions (awe, sense of scale, object learned, engagement aspects)</t>
  </si>
  <si>
    <t>Effects on students:
97% enjoyed the experience.
87% agreed VR is an effective way to learn about scale.
70% became more interested in STEM careers.
Most students felt like they were physically growing or shrinking, confirming embodied learning.
Experiences of awe and wonder were reported by 91% of students.
Effects on teachers (implied):
Teachers/facilitators could observe active engagement and better understanding among students.</t>
  </si>
  <si>
    <t xml:space="preserve">Likert-scale responses for engagement, perceived learning, VR effectiveness, and STEM interest.
Qualitative responses categorized to assess experience-driven vs. knowledge-driven interest in STEM.
Proportion of students feeling “shrink/grow” experience vs. object-size change experience.
</t>
  </si>
  <si>
    <t xml:space="preserve">Technologies mentioned:
CAVE VR environment (large room-scale virtual projection).
Active shutter 3D glasses (tracked) + Passive 3D glasses (untracked).
Scale Worlds (SW) immersive software.
VR controllers (wand) for interaction with virtual objects and scaling interface.
</t>
  </si>
  <si>
    <t>Check. Couldn't validate the effect perception on teachers (RQ3)</t>
  </si>
  <si>
    <t>Underserved summer-camp students: 41 elementary + 28 middle school</t>
  </si>
  <si>
    <t>Scale &amp; size (STEM)</t>
  </si>
  <si>
    <t>97% enjoyed; 91% felt awe; 70% more interested in STEM careers; 77% learned something; 73% better understanding of scale</t>
  </si>
  <si>
    <t>Author-made survey: 4 Likert items, 1 multiple choice, 4 open questions; field observation</t>
  </si>
  <si>
    <t>69 students (41 elementary, 28 middle)</t>
  </si>
  <si>
    <t>Single CAVE visit (duration NR); one tracked viewer at a time</t>
  </si>
  <si>
    <t>Informal outreach setting; single-item measures; 100% response</t>
  </si>
  <si>
    <t>Sooraj N.N.; Manoj S.; Mahalakshmi P.</t>
  </si>
  <si>
    <t>Sooraj, Nived N (58680963400); Manoj, Sidharth (59642701400); Mahalakshmi, P. (57216001944)</t>
  </si>
  <si>
    <t>58680963400; 59642701400; 57216001944</t>
  </si>
  <si>
    <t>Proceedings of the 4th International Conference on Smart Electronics and Communication, ICOSEC 2023</t>
  </si>
  <si>
    <t>10.1109/ICOSEC58147.2023.10275853</t>
  </si>
  <si>
    <t>https://www.scopus.com/inward/record.uri?eid=2-s2.0-85175731110&amp;doi=10.1109%2fICOSEC58147.2023.10275853&amp;partnerID=40&amp;md5=2f7575977bb29fcd6c40daa2998c5b22</t>
  </si>
  <si>
    <t>Srm Institute of Science and Technology, Department of Networking and Communication, Kattankulathur, India</t>
  </si>
  <si>
    <t>Sooraj N.N., Srm Institute of Science and Technology, Department of Networking and Communication, Kattankulathur, India; Manoj S., Srm Institute of Science and Technology, Department of Networking and Communication, Kattankulathur, India; Mahalakshmi P., Srm Institute of Science and Technology, Department of Networking and Communication, Kattankulathur, India</t>
  </si>
  <si>
    <t>webARio is a web-based portal designed to enhance the process of learning by streamlining visualization using a revolutionary virtual classroom setup with 3D models and augmented reality integration. In this study, the authors present the development of the webARio platform, its architecture, and the implementation of its key features. Proposed system offers a user-friendly interface that allows users to access the platform from any device with internet access. The revolutionary virtual classroom setup uses 3D models to facilitate learning, enabling users to visualize complex concepts in a more engaging and interactive way. Additionally, the integration of augmented reality enhances the user experience, allowing users to visualize 3D models in the real world. The webARio platform has the potential to revolutionize the way students learn by offering an innovative and effective way to visualize and understand complex concepts. This study presents a detailed analysis of the webARio platform, its features, and its potential impact on the education sector. © 2023 IEEE.</t>
  </si>
  <si>
    <t>3-Dimensional; Augmented Reality; virtual reality; Visualization</t>
  </si>
  <si>
    <t>Computer aided instruction; E-learning; Integration; Learning systems; Portals; Three dimensional computer graphics; Virtual reality; Visualization; 3-dimensional; 3D models; 3d-modeling; Enhanced learning; ITS architecture; Key feature; Process of learning; User friendly interface; Virtual Classroom; Web-based portal; Augmented reality</t>
  </si>
  <si>
    <t>Technologies used:
Augmented Reality (AR) via web browsers (WebAR).
3D models integrated into virtual classrooms.
No VR headsets or CAVE systems were required — just any device with internet access (PC, tablet, mobile phone).
Web platform: webARio accessible through browsers.</t>
  </si>
  <si>
    <t>No experimental evaluation yet reported (i.e., no user tests, surveys, or experiments completed at this stage).
Authors emphasize future research is needed to assess usability, student engagement, and learning outcomes.
The paper is mainly focused on platform design and architecture, not experimental validation.</t>
  </si>
  <si>
    <t>Based on expected outcomes (no experimental users yet):
Teachers:
Can upload and manage 3D models, create virtual classrooms, host sessions.
Enhance teaching of STEM topics with visual 3D support.
Students:
Can join sessions, interact with 3D models, and explore concepts visually.
Even young children have a version for early learning (alphabet-based objects).
Overall, system is expected to increase motivation, engagement, and concept understanding.</t>
  </si>
  <si>
    <t>No metrics or experimental data yet reported.
Future work suggested to assess:
Student engagement levels.
Learning outcomes improvement.
Usability and scalability of the system.</t>
  </si>
  <si>
    <t>Technologies mentioned:
ARJS for AR model rendering in browsers.
Agora.io API for virtual classroom meeting rooms.
Firebase for user authentication and database storage.
Web-based portal (responsive for various devices).
3D models for educational content (e.g., interactive models for physics, biology, math).</t>
  </si>
  <si>
    <t>No evaluation make, think need be romove</t>
  </si>
  <si>
    <t>Virtual classroom with 3D/AR models</t>
  </si>
  <si>
    <t>Web/browser AR</t>
  </si>
  <si>
    <t>E2: No learner data (platform development; evaluation left to future work)</t>
  </si>
  <si>
    <t>No evaluation – authors state effectiveness and usability are future work</t>
  </si>
  <si>
    <t>Steynberg J.; van Biljon J.; Pilkington C.</t>
  </si>
  <si>
    <t>Steynberg, Johanna (57220746542); van Biljon, Judy (23393877200); Pilkington, Colin (26031725800)</t>
  </si>
  <si>
    <t>57220746542; 23393877200; 26031725800</t>
  </si>
  <si>
    <t>South African Computer Journal</t>
  </si>
  <si>
    <t>10.18489/sacj.v35i2.17442</t>
  </si>
  <si>
    <t>https://www.scopus.com/inward/record.uri?eid=2-s2.0-85184477574&amp;doi=10.18489%2fsacj.v35i2.17442&amp;partnerID=40&amp;md5=92924614954f8f47f1529439bd00e823</t>
  </si>
  <si>
    <t>University of South Africa, South Africa</t>
  </si>
  <si>
    <t>Steynberg J., University of South Africa, South Africa; van Biljon J., University of South Africa, South Africa; Pilkington C., University of South Africa, South Africa</t>
  </si>
  <si>
    <t>Science educators need tools to assess to what extent learners’ knowledge can be transferred to novel real-world situations. Virtual reality learning environments (VRLEs) offer the possibility of creating authentic tools where situated learning and assessment can take place, but there is a lack of evidence-based guidelines to inform the design and development of the VRLEs focussing on the user, that is the learner experience, especially for secondary schools. Drawing on theoretical premises and guidelines from user experience, usability, and technologically enabled assessment literature, we designed, developed, evaluated, and refined a VRLE prototype for the authentic assessment of knowledge transfer in the secondary school science classroom as guided by the design science research approach. Lessons learnt from the implementation and iterative evaluation of the prototype are presented as a set of literature-based, empirically validated guidelines to support and guide educational designers and developers to create VRLEs focused on supporting the learner experience. The contribution of this study is a VRLE design model with the learner at its core, the definition of VLX to include learner-specific aspects of immersive environments, and guidelines for the development of an effective and efficient virtual reality environment for the assessment of knowledge transfer in science education. © The author(s); published under a Creative Commons NonCommercial 4.0 License</t>
  </si>
  <si>
    <t>21st-century abilities; Augmented and virtual reality; Human-computer interface; Learner experience; Virtual reality learning environments</t>
  </si>
  <si>
    <t>South African Institute of Computer Scientists and Information Technologists</t>
  </si>
  <si>
    <t>Devices used:
Oculus Rift VR headset (full immersive VR).
Desktop computer (Windows 10, high-end specs for VR rendering).
No mention of CAVE VR systems — focus on head-mounted VR (HMD)</t>
  </si>
  <si>
    <t>Likert-item questionnaires (effectiveness, efficiency, satisfaction).
Thematic analysis of open-ended interviews.
Observation of users interacting with the VRLE.
Stealth assessments (built into the VR system to measure task performance).</t>
  </si>
  <si>
    <t>Effects on students:
Strong emotional experiences: enjoyment, immersion, interest.
Improved motivation and desire for more interactive learning.
Minor adaptation challenges (adjusting to VR navigation).
Minimal side effects (very little motion sickness).
Effects on teachers:
Provides authentic, real-world style assessments.
Requires new design strategies to create VR environments that match learner profiles (age, experience).</t>
  </si>
  <si>
    <t>Effectiveness (spatial characteristics, visual authenticity, data consistency).
Efficiency (navigation ease, interaction with virtual objects).
Satisfaction (physical comfort, user frustration, attitude, motivation).
Mean scores calculated for each dimension.
Qualitative codes for emotional experiences, locomotion issues, educational impact, and real-world simulation feedback.</t>
  </si>
  <si>
    <t>Technologies mentioned:
Oculus Rift VR headset + hand controllers.
Unreal Engine 4.22 (for VRLE development).
Desktop PC (Intel i7 CPU, RTX 2070 GPU, 64GB RAM).
VRLE Design guided by:
Content-pedagogy-technology synergy model.
Finite-State Machine programming (for event-driven interactions).
Emphasis on motion sickness mitigation, personal space respect, and natural movement.</t>
  </si>
  <si>
    <t>Secondary-school science learners (convenience sample) + 3 general users and 2 experts (iteration 1)</t>
  </si>
  <si>
    <t>Science (assessment of knowledge transfer)</t>
  </si>
  <si>
    <t>Satisfaction section M = 4.71/5 (SD 0.78; incl. attitude &amp; motivation); efficiency lowest M = 3.87; all learners reported enjoyment</t>
  </si>
  <si>
    <t>Author-made Likert items (effectiveness, efficiency, satisfaction) in 1-to-1 interviews; open questions</t>
  </si>
  <si>
    <t>Design-based research</t>
  </si>
  <si>
    <t>10 secondary-school learners (iteration 2)</t>
  </si>
  <si>
    <t>Navigation speed problems; minimal motion sickness</t>
  </si>
  <si>
    <t>Convenience sample of 10</t>
  </si>
  <si>
    <t>Varinlioglu G.; Afshar S.V.; Eshaghi S.; Balaban Ö.; Nagakura T.</t>
  </si>
  <si>
    <t>Varinlioglu, Guzden (36919637100); Afshar, Sepehr Vaez (57456114000); Eshaghi, Sarvin (57455172900); Balaban, Özgün (56026427000); Nagakura, Takehiko (15819787000)</t>
  </si>
  <si>
    <t>36919637100; 57456114000; 57455172900; 56026427000; 15819787000</t>
  </si>
  <si>
    <t>Proceedings of the International Conference on Computer-Aided Architectural Design Research in Asia</t>
  </si>
  <si>
    <t>10.52842/conf.caadria.2022.1.069</t>
  </si>
  <si>
    <t>https://www.scopus.com/inward/record.uri?eid=2-s2.0-85171859846&amp;doi=10.52842%2fconf.caadria.2022.1.069&amp;partnerID=40&amp;md5=bbf991dd49c7e6803b71cb8e791cdcf8</t>
  </si>
  <si>
    <t>Department of Architecture, Izmir University of Economics; Massachusetts Institute of Technology, United States; Istanbul Technical University, Turkey; Delft University of Technology, Netherlands; Department of Architecture, Massachusetts Institute of Technology, United States</t>
  </si>
  <si>
    <t>Varinlioglu G., Department of Architecture, Izmir University of Economics; Massachusetts Institute of Technology, United States; Afshar S.V., Istanbul Technical University, Turkey; Eshaghi S., Istanbul Technical University, Turkey; Balaban Ö., Delft University of Technology, Netherlands; Nagakura T., Department of Architecture, Massachusetts Institute of Technology, United States</t>
  </si>
  <si>
    <t>The pandemic brought new norms and techniques of pedagogical strategies in formal education. The synchronous/ asynchronous video streaming brought an emphasis on virtual and augmented realities, which are rapidly replacing textbooks as the main medium for learning and teaching. This transformation requires more extensive online and interactive content with simpler user interfaces. The aim of this study is to report on the design, implementation, and testing of a game based on low-cost and user-friendly content for digital cultural heritage. In this project, a game aimed at inclusive and equitable education was developed using 360° images of the targeted architectural heritage geographically distributed in a pilot site. We promote lifelong learning opportunities for all, following the SDG4, aiming for quality education with the easy-to-use online platform and easy access to immersive education through mobile platforms. Towards a post-carbon future without the need for travel, computational design methods such as using 360° videos and images in combination with virtual reality (VR) headsets allow a low-cost approach to remotely experiencing cultural heritage. We propose developing and testing a GIS-based educational game using a low-cost 360° virtual tour of architectural heritage, more specifically, caravanserais of Anatolia. © 2022, The Association for Computer-Aided Architectural Design Research in Asia. All rights reserved.</t>
  </si>
  <si>
    <t>360° Images; Caravanserais; Digital Heritage; Educational Games; SDG 4</t>
  </si>
  <si>
    <t>Architectural design; Augmented reality; Costs; E-learning; Geographic information systems; Virtual reality; 360° image; Architectural heritage; Caravanserai; Digital heritage; Educational game; Gis-based; Low-costs; Pedagogical strategies; SDG 4; Virtual tour; User interfaces</t>
  </si>
  <si>
    <t>The Association for Computer-Aided Architectural Design Research in Asia</t>
  </si>
  <si>
    <t>All Open Access; Bronze Open Access; Green Open Access</t>
  </si>
  <si>
    <t>Uses 360° panoramic photography and web-based VR tours.
Compatible with mobile and desktop platforms, with optional VR headset support (but not required).
No use of CAVE VR systems.</t>
  </si>
  <si>
    <t>User analytics tracking:
Google Analytics for click tracking and session data.
Custom script logging of scores, quiz performance, and game progression.
No formal questionnaires or surveys—data focused on interaction behavior and game analytics.</t>
  </si>
  <si>
    <t>Effects on students:
Increased immersion, motivation, and content retention through puzzle-solving and exploration.
Allowed students to navigate cultural content in a story-rich, non-linear format.
Effects on teachers:
Enabled creation of interactive learning modules using 360° media without needing advanced game development skills.
Facilitated data-driven improvements to content via web analytics.</t>
  </si>
  <si>
    <t>Score tracking per caravanserai and game module.
Health points (as a gamified way to track error rate or time violations).
Heatmap data on site visitation and activity completion.</t>
  </si>
  <si>
    <t>Technologies used:
3DVista Virtual Tour PRO: To create interactive 360° VR scenes.
Mapbox GL JS + GeoJSON: For GIS-based map and navigation.
GoPro Max: For 360° image capture.
Firebase: For real-time database of user interactions.
Google Analytics: To track behavior and engagement.</t>
  </si>
  <si>
    <t>History</t>
  </si>
  <si>
    <t>Guzden</t>
  </si>
  <si>
    <t>guzden@mit.edu</t>
  </si>
  <si>
    <t>30 students (level NR) in a playtest</t>
  </si>
  <si>
    <t>Architectural heritage (Anatolian caravanserais)</t>
  </si>
  <si>
    <t>360° web tour on computers and mobiles (no HMD in playtest)</t>
  </si>
  <si>
    <t>Playtest with 30 students logged by Google Analytics; no outcome results reported</t>
  </si>
  <si>
    <t>Web analytics; score logs</t>
  </si>
  <si>
    <t>Design + pilot (analytics)</t>
  </si>
  <si>
    <t>30 students (no results reported)</t>
  </si>
  <si>
    <t>One playtest session (Nov 2021)</t>
  </si>
  <si>
    <t>E2: No learner outcome data reported (playtest analytics only)</t>
  </si>
  <si>
    <t>Engagement/motivation claims not supported by reported data</t>
  </si>
  <si>
    <t>Tian X.; Cui S.</t>
  </si>
  <si>
    <t>Tian, Xingjiang (57992989300); Cui, Shujing (57993479300)</t>
  </si>
  <si>
    <t>57992989300; 57993479300</t>
  </si>
  <si>
    <t>Security and Communication Networks</t>
  </si>
  <si>
    <t>10.1155/2022/7483566</t>
  </si>
  <si>
    <t>https://www.scopus.com/inward/record.uri?eid=2-s2.0-85143344739&amp;doi=10.1155%2f2022%2f7483566&amp;partnerID=40&amp;md5=1504091351c43d941d37a4276a939c60</t>
  </si>
  <si>
    <t>Chongqing University of Arts and Sciences, Chongqing, 402160, China</t>
  </si>
  <si>
    <t>Tian X., Chongqing University of Arts and Sciences, Chongqing, 402160, China; Cui S., Chongqing University of Arts and Sciences, Chongqing, 402160, China</t>
  </si>
  <si>
    <t>The purpose is to explore the application and effect of scientific games based on artificial intelligence (AI) in preschool education under the smart city. An interactive scientific games model for children by virtual reality (VR) is constructed using the augmented reality (AR) technology in AI. This enables the product to continuously enrich its interactive functions in addition to realizing its own functional requirements, pay attention to user experience, and allow users to feel the pleasure and comfortable emotional communication brought by the product in the process of using it. The model mainly completes the interaction through gesture interaction and voice interaction, and it is further empirically analyzed by means of questionnaires and interviews. The results manifested that after the use of the intelligent interaction model of scientific games, 93.33% of the students in the experimental group were interested in scientific games, and 83.33% of the students in the experimental group had a clear understanding of scientific knowledge. Moreover, more students in the experimental group believed that they had received support from explanations, demonstrations, and guided conjectures, which was significantly different from the control group (P &lt; 0.05). In the analysis of teacher interviews, it testified that the scientific values of preschool teachers and the reserve of basic scientific knowledge were still relatively weak, and their knowledge reserve could be improved in the future. Therefore, the research shows that the constructed model can improve the interest of scientific games and the ability of knowledge acquisition in preschool education, and provide an experimental reference for the development of intelligence and the improvement of teaching skills in the field of preschool education. © 2022 Xingjiang Tian and Shujing Cui.</t>
  </si>
  <si>
    <t>Artificial intelligence; Augmented reality; Education computing; Smart city; Surveys; Virtual reality; Augmented reality technology; Experimental groups; Functional requirement; Game models; Game-Based; Interactive functions; Preschool education; Scientific knowledge; Teachers'; Users' experiences; Students</t>
  </si>
  <si>
    <t>Hindawi Limited</t>
  </si>
  <si>
    <t>Used VR-based models enhanced with AR elements.
Gesture and voice recognition were central interaction methods.
No mention of CAVE VR; mainly VR HMD-style setups or projection-based VR for children.</t>
  </si>
  <si>
    <t>Questionnaires (for students' interest, knowledge clarity, and operational support).
Teacher interviews (on support provided during scientific games).
Statistical analysis:
Cronbach Alpha for reliability.
KMO tests for validity.
Comparison with control groups (P&lt;0.05 for significance).</t>
  </si>
  <si>
    <t>Effects on students:
93.33% showed increased interest in science games.
83.33% demonstrated better clarity in scientific knowledge.
Students were more engaged and better supported via demonstrations, explanations, and guided guessing.
Effects on teachers:
Teachers realized their own lack of scientific training.
Noted that teaching skills and scientific knowledge reserves among preschool educators need improvement.</t>
  </si>
  <si>
    <t>Interest levels in scientific games.
Clarity of knowledge acquisition (clear/unclear understanding).
Operational support provided (demonstration, explanation, guided discovery).
Teacher feedback on education quality and needs.</t>
  </si>
  <si>
    <t>Technologies mentioned:
AR technology integrated with VR-based games.
Gesture interaction: skeletal tracking for motion (e.g., waving detection).
Voice interaction: speech recognition using Hidden Markov Models (HMM).
Scientific Games Model designed with cognitive psychology principles (sensory perception, attention, memory, emotion).</t>
  </si>
  <si>
    <t>Typical learners + teachers</t>
  </si>
  <si>
    <t>Early science games</t>
  </si>
  <si>
    <t>VR + AR</t>
  </si>
  <si>
    <t>Unspecified (gesture + voice)</t>
  </si>
  <si>
    <t>93.3% interested; 83.3% clear understanding; p &lt; .05 vs control</t>
  </si>
  <si>
    <t>Author-made questionnaire (α, KMO); teacher interviews</t>
  </si>
  <si>
    <t>Quasi-experimental with control</t>
  </si>
  <si>
    <t>E1: Retracted by the publisher (Hindawi, 9 Aug 2023)</t>
  </si>
  <si>
    <t>RETRACTED by Hindawi (notice 9 Aug 2023, doi:10.1155/2023/9890345: systematic manipulation, peer-review manipulation). Exclude from the review.</t>
  </si>
  <si>
    <t>Ruscanu A.-M.; Ciupe A.; Meza S.N.</t>
  </si>
  <si>
    <t>Ruscanu, Ana-Maria (57701767000); Ciupe, Aurelia (57105700600); Meza, Serban Nicolae (24829838400)</t>
  </si>
  <si>
    <t>57701767000; 57105700600; 24829838400</t>
  </si>
  <si>
    <t>IEEE Global Engineering Education Conference, EDUCON</t>
  </si>
  <si>
    <t>10.1109/EDUCON52537.2022.9766679</t>
  </si>
  <si>
    <t>https://www.scopus.com/inward/record.uri?eid=2-s2.0-85130484039&amp;doi=10.1109%2fEDUCON52537.2022.9766679&amp;partnerID=40&amp;md5=71267bf685b69f91448badd57af0fbf7</t>
  </si>
  <si>
    <t>Technical University of Cluj-Napoca, Multimedia Systems and Application Laboratory, Romania</t>
  </si>
  <si>
    <t>Ruscanu A.-M., Technical University of Cluj-Napoca, Multimedia Systems and Application Laboratory, Romania; Ciupe A., Technical University of Cluj-Napoca, Multimedia Systems and Application Laboratory, Romania; Meza S.N., Technical University of Cluj-Napoca, Multimedia Systems and Application Laboratory, Romania</t>
  </si>
  <si>
    <t>Gamified assessments have been mainly implemented for STEM education, focusing on motivational objectives and performance evaluation of teaching-learning processes. This paper presents a gamified educational 3D virtual world developed to provide a complementary tool for teaching software engineering students the fundamental concepts of computer hardware. The research design follows the needs identified across a focus group, but the prototype may also serve as support for K-12 with technical specializations. A beta-test has concluded that the learning outcome is improved when a gamification framework is provided. The engagement level has been assessed among engineering students, validating the prototype as a new complementary method for an Applied Informatics laboratory. © 2022 IEEE.</t>
  </si>
  <si>
    <t>computer hardware architecture; Gamification; serious game; user experience assessment</t>
  </si>
  <si>
    <t>Computer architecture; Computer hardware; E-learning; Software engineering; Students; Virtual reality; 3d virtual worlds; Complementary tools; Computer hardware architecture; Gamification; Hardware architecture; Objective evaluation; Performances evaluation; STEM education; Teaching-learning process; User experience assessments; Serious games</t>
  </si>
  <si>
    <t>IEEE Computer Society</t>
  </si>
  <si>
    <t>In this paper:
Desktop 3D Virtual Environment was used.
Developed using Unity 3D Engine (not immersive VR or Cave VR specifically)​
.
However, related works mentioned in the paper include immersive 3D virtual worlds in other studies​
.</t>
  </si>
  <si>
    <t xml:space="preserve">User Experience Questionnaire (UEQ)
26 standardized items assessing Attractiveness, Perspicuity, Efficiency, Dependability, Stimulation, and Novelty.
Plus 8 open-ended questions to collect improvement suggestions​
.
</t>
  </si>
  <si>
    <t xml:space="preserve">Positive Effects:
Improved motivation and engagement.
Easier skill acquisition through simulated practical experiences.
Helped bridge the gap between theoretical and practical knowledge​
.
Negative/Challenges:
Some students wanted more innovative, dynamic, and challenging content.
Slight issues with boredom after completing intuitive tasks​
.
</t>
  </si>
  <si>
    <t>Metrics based on UEQ:
Attractiveness (general impression)
Perspicuity (ease of learning)
Efficiency (task completion without effort)
Dependability (sense of control)
Stimulation (excitement/motivation)
Novelty (creativity/innovation)
Quantitative data (graded from -3 to +3) and qualitative feedback were collected​
.</t>
  </si>
  <si>
    <t>In this case:
Unity 3D Engine for building the environment.
Gamification elements: points, badges, quizzes, animated feedback, leaderboards​
.
Related tools referenced:
TestOut PC Pro (a simulator)
PC Building Simulator (commercial game)
EduCache (2D simulator for resource allocation)
3D environments simulating security threats​
.</t>
  </si>
  <si>
    <t>check</t>
  </si>
  <si>
    <t>First-year engineering students aged 18–20</t>
  </si>
  <si>
    <t>Computer architecture</t>
  </si>
  <si>
    <t>Desktop VR (non-immersive)</t>
  </si>
  <si>
    <t>UEQ: attractiveness 1.19 (above average), perspicuity 2.10 (excellent), stimulation 0.98 &amp; novelty 0.67 (below average); authors: users 'lack enjoyment and get bored'</t>
  </si>
  <si>
    <t>UEQ (26 items, Romanian version) + 8 open questions</t>
  </si>
  <si>
    <t>12 respondents (of 200 invited)</t>
  </si>
  <si>
    <t>Self-paced at home (.exe download)</t>
  </si>
  <si>
    <t>Boredom; tasks too easy</t>
  </si>
  <si>
    <t>Outside basic education: First-year university students</t>
  </si>
  <si>
    <t>6% response rate; university students; non-immersive desktop 3D world</t>
  </si>
  <si>
    <t>Tennakoon D.; Usmani A.U.; Usman M.; Vasileiou A.; Latchaev S.; Baljko M.; Khan U.T.; Perras M.A.; Jadidi M.</t>
  </si>
  <si>
    <t>Tennakoon, Damith (57894873400); Usmani, Aman U. (57215427864); Usman, Muhammad (57203046076); Vasileiou, Apostolos (56021511200); Latchaev, Sasha (57895820000); Baljko, Melanie (12241137300); Khan, Usman T. (36185269300); Perras, Matthew A. (36965478100); Jadidi, Mojgan (57204566894)</t>
  </si>
  <si>
    <t>57894873400; 57215427864; 57203046076; 56021511200; 57895820000; 12241137300; 36185269300; 36965478100; 57204566894</t>
  </si>
  <si>
    <t>ASEE Annual Conference and Exposition, Conference Proceedings</t>
  </si>
  <si>
    <t>https://www.scopus.com/inward/record.uri?eid=2-s2.0-85138240346&amp;partnerID=40&amp;md5=4368c8b9b699ca1b21253d89eae0dd24</t>
  </si>
  <si>
    <t>Lassonde School of Engineering, York University, Toronto, Canada; Department of Information and Computer Science, King Fahd University of Petroleum and Minerals, Dhahran, Saudi Arabia</t>
  </si>
  <si>
    <t>Tennakoon D., Lassonde School of Engineering, York University, Toronto, Canada; Usmani A.U., Lassonde School of Engineering, York University, Toronto, Canada; Usman M., Department of Information and Computer Science, King Fahd University of Petroleum and Minerals, Dhahran, Saudi Arabia; Vasileiou A., Lassonde School of Engineering, York University, Toronto, Canada; Latchaev S., Lassonde School of Engineering, York University, Toronto, Canada; Baljko M., Lassonde School of Engineering, York University, Toronto, Canada; Khan U.T., Lassonde School of Engineering, York University, Toronto, Canada; Perras M.A., Lassonde School of Engineering, York University, Toronto, Canada; Jadidi M., Lassonde School of Engineering, York University, Toronto, Canada</t>
  </si>
  <si>
    <t>In the methods of traditional education, students have had to learn complex concepts within the subjects of earth-science and engineering beginning with paper-based topographic maps, a pencil and a ruler. Elaborative observations, such as understanding of the landscape elevations using a contour map, had to be performed by reading accurate contour intervals for heights on a given map. Such paper-based concepts delivered by instructors are perplexing and hard for students to grasp, despite that they play a fundamental role towards earth-science and engineering education. However, using advanced technology and enhanced visualization techniques, instructors can deliver such complicated concepts in a more step-by-step interactive fashion, which is more straight forward and easier to understand by the students. Our team is working on changing this traditional norm of education into a more visual-based experiential learning process. By using depth sensors and a physical sandbox structure, we have developed a mechanism to capture self-created landscapes in a sandbox environment and recreate respective Digital Terrain Model (DTM). The Augmented Reality (AR) Sandbox by UC Davis is a 3D visualization application where individuals can simply mould the sand into mountains and valleys, and a real-time topographic map is projected onto the sand to bring the landscape to life. However, this technology has its own shortcomings in terms of requiring physical access to the AR Sandbox itself, and furthermore absence of performing complex geological, hydrological, and geotechnical applications on top of existing software. We are extending this immersive technology by developing a virtual sandbox (called XR Sandbox) linked with the AR Sandbox. The extended process extracts a 3D point cloud of the self-designed terrain (landscape) in the AR Sandbox and converts this point cloud into a colour-mapped point cloud based on spectral elevation. Furthermore, using a 3D modelling framework in the Python environment, the colour-mapped point cloud is converted into a DTM (a 3D mesh file). To furnish the application of our extensive work, we have developed a prototype virtual sandbox, a web-based application, that imports these DTM's for further digital analysis. The virtual sandbox application is an interactive computer program developed using the Unity 3D game engine, geared towards teaching complex earth-science concepts. The current prototype allows generation of automatic contour maps, overlayed on the terrain model and it is integrated into a learning exercise for students in Civil Engineering to understand the orientation of a planar structure using the 3-Point Problem approach. This exercise has been traditionally delivered using pen and paper, aided with physical 3D models and now it is possible to visualize the problem with a few clicks. The latest release of the Virtual Sandbox application was implemented into a 2000-level Geological process course in the Civil Engineering Program where students were tasked with performing an assessment to demonstrate their 3-dimensional visualization ability. A Google Forms survey, aimed towards learning about the individual user experiences using the Virtual Sandbox application, was distributed the students that took part in this lab activity. Our project also intended towards Virtual Reality (VR) development, therefore, provisioning towards a complete Mixed Reality (XR) experience in Earth system engineering education. The future of such a platform enables enhanced learning experiences for students and innovative solutions for instructors. Here users can import various self-created 3D terrain models, visualize, explore landscapes using first-person perspective, seek extensive new features, and potentials beyond traditional education. © American Society for Engineering Education, 2022.</t>
  </si>
  <si>
    <t>Augmented Reality; Earth systems; Engineering Education; Experiential Education; Virtual Reality</t>
  </si>
  <si>
    <t>Application programs; Computer games; E-learning; Education computing; Engineering education; Interactive computer graphics; Landforms; Learning systems; Maps; Mixed reality; Students; Three dimensional computer graphics; Visualization; 3d-modeling; Contour map; Digital terrain model; Earth systems; Experiential educations; Mixed reality; Point-clouds; Science and engineering; Topographic map; Traditional educations; Augmented reality</t>
  </si>
  <si>
    <t>American Society for Engineering Education</t>
  </si>
  <si>
    <t>Mixed setup includes:
AR Sandbox (depth sensor + projector + physical sandbox)
Web-based VR Sandbox (built in Unity)
Future expansion includes full VR headsets and haptic interfaces.
No use of CAVE VR reported, but the project is scalable.</t>
  </si>
  <si>
    <t xml:space="preserve">Google Forms survey sent to students after a lab session using the Virtual Sandbox.
Survey questions covered:
Ease of navigation
Use of tools (protractor, ruler, first-person view)
Performance experience (load times, freezing)
Learning outcomes and recommendations
At the time of reporting, survey results were pending, but internal usability tests were positive.
</t>
  </si>
  <si>
    <t>Effects on students:
Improved understanding of 3D terrain and topography.
Helped with spatial thinking and solving problems like rock volume estimation.
Easier to visualize abstract geometry (e.g., planar surfaces) compared to paper maps.
Effects on teachers:
Gained a tool to digitally simulate real-world engineering tasks (e.g., tunnel design, slope analysis).
Could embed custom terrain models and allow custom problem creation.</t>
  </si>
  <si>
    <t>No formal pre/post tests or performance analytics yet.
Evaluation focused on:
Student interaction (e.g., tool usage, time on task)
User experience (form-based feedback)
App performance on different hardware setups</t>
  </si>
  <si>
    <t>Technologies used:
AR Sandbox (based on UC Davis model, enhanced with point cloud export)
Unity 3D Web-based VR Sandbox
Python (Open3D + Matplotlib): To process depth data and generate Digital Terrain Models (DTMs)
C++: Custom menu system for AR Sandbox
First-person navigation, contour tools, ruler tools, and other digital measuring functions
Future-ready for VR headsets and Unity Addressables for runtime asset loading</t>
  </si>
  <si>
    <t>Damith</t>
  </si>
  <si>
    <t>damitht6@my.yorku.ca</t>
  </si>
  <si>
    <t>Civil engineering undergraduates (2000-level course)</t>
  </si>
  <si>
    <t>Earth science / topography</t>
  </si>
  <si>
    <t>Projection AR sandbox + web VR</t>
  </si>
  <si>
    <t>Survey results pending at publication</t>
  </si>
  <si>
    <t>Google Forms survey (results not reported)</t>
  </si>
  <si>
    <t>0 (no survey responses at time of writing)</t>
  </si>
  <si>
    <t>E2: No learner data (survey results not yet available)</t>
  </si>
  <si>
    <t>No user data received; university level</t>
  </si>
  <si>
    <t>Zhang L.; Lu F.; Tahmid I.A.; Davari S.; Lisle L.; Gutkowski N.; Schlueter L.; Bowman D.A.</t>
  </si>
  <si>
    <t>Zhang, Lei (59119484200); Lu, Feiyu (57192988519); Tahmid, Ibrahim Asadullah (57222808231); Davari, Shakiba (57192155734); Lisle, Lee (57202043477); Gutkowski, Nicolas (57223648053); Schlueter, Luke (57223662381); Bowman, Doug A. (57203231782)</t>
  </si>
  <si>
    <t>59119484200; 57192988519; 57222808231; 57192155734; 57202043477; 57223648053; 57223662381; 57203231782</t>
  </si>
  <si>
    <t>Proceedings - 2021 IEEE Conference on Virtual Reality and 3D User Interfaces Abstracts and Workshops, VRW 2021</t>
  </si>
  <si>
    <t>10.1109/VRW52623.2021.00230</t>
  </si>
  <si>
    <t>https://www.scopus.com/inward/record.uri?eid=2-s2.0-85105973322&amp;doi=10.1109%2fVRW52623.2021.00230&amp;partnerID=40&amp;md5=ae686225cb4c14cb5c198a6b4cfc54e2</t>
  </si>
  <si>
    <t>Virginia Tech, Center for Human-Computer Interaction, Department of Computer Science, Blacksburg, VA, United States</t>
  </si>
  <si>
    <t>Zhang L., Virginia Tech, Center for Human-Computer Interaction, Department of Computer Science, Blacksburg, VA, United States; Lu F., Virginia Tech, Center for Human-Computer Interaction, Department of Computer Science, Blacksburg, VA, United States; Tahmid I.A., Virginia Tech, Center for Human-Computer Interaction, Department of Computer Science, Blacksburg, VA, United States; Davari S., Virginia Tech, Center for Human-Computer Interaction, Department of Computer Science, Blacksburg, VA, United States; Lisle L., Virginia Tech, Center for Human-Computer Interaction, Department of Computer Science, Blacksburg, VA, United States; Gutkowski N., Virginia Tech, Center for Human-Computer Interaction, Department of Computer Science, Blacksburg, VA, United States; Schlueter L., Virginia Tech, Center for Human-Computer Interaction, Department of Computer Science, Blacksburg, VA, United States; Bowman D.A., Virginia Tech, Center for Human-Computer Interaction, Department of Computer Science, Blacksburg, VA, United States</t>
  </si>
  <si>
    <t>Science storytelling is an effective way to turn abstract scientific concepts into easy-to-understand narratives. Science storytelling in immersive virtual reality (VR) can further optimize learning by leveraging rich interactivity in a virtual environment and creating an engaging learning-by-doing experience. In the current context of the COVID-19 pandemic, we propose a solution to use interactive storytelling in immersive VR to promote science education for the general public on the topic of COVID-19 vaccination. The educational VR storytelling experience we have developed uses sci-fi storytelling, adventure and VR gameplay to illustrate how COVID-19 vaccines work. After playing the experience, users will understand how the immune system in the human body reacts to a COVID-19 vaccine so that it is prepared for a future infection from the real virus. © 2021 IEEE.</t>
  </si>
  <si>
    <t>Education; Immersion; Interactivity; Storytelling; Virtual reality</t>
  </si>
  <si>
    <t>Abstracting; User experience; User interfaces; Vaccines; Viruses; Antigen presenting cells; General publics; Immersive virtual reality; Interactive storytelling; Interactivity; Learning by doing; Science education; Vaccine delivery; Virtual reality</t>
  </si>
  <si>
    <t xml:space="preserve">In this paper:
Immersive VR headsets (no specific device mentioned, but experiences were built for standard VR hardware like Oculus, HTC Vive).
Desktop VR (user seated and interacts using VR controllers)​
.
</t>
  </si>
  <si>
    <t xml:space="preserve">No formal assessment was reported yet.
Focus was on design and prototyping the experience.
They mention the goal to optimize learning but didn't perform user studies or evaluations​
.
</t>
  </si>
  <si>
    <t xml:space="preserve">Expected Effects:
Enhances understanding of abstract scientific processes (like immune responses).
Encourages public trust in vaccines by improving science communication.
Improves user engagement compared to passive storytelling​
.
Actual User Feedback:
Not collected yet; future user studies could validate these expectations.
</t>
  </si>
  <si>
    <t xml:space="preserve">No experiment or metrics yet.
Metrics for future work would probably include engagement, knowledge gain, and user satisfaction​
.
</t>
  </si>
  <si>
    <t xml:space="preserve">Technologies used:
Unity Engine for VR development.
Unity Timeline tool for synchronizing story events and user interactions.
Custom 3D UI designs:
Slingshot mechanic for vaccine delivery.
Scanning mechanic for identifying immune cells​
.
</t>
  </si>
  <si>
    <t xml:space="preserve">no metioned any type of test </t>
  </si>
  <si>
    <t>Immunology (COVID-19 vaccine)</t>
  </si>
  <si>
    <t>HMD – unspecified</t>
  </si>
  <si>
    <t>E2: No learner data (design paper)</t>
  </si>
  <si>
    <t>No evaluation; general-public science communication</t>
  </si>
  <si>
    <t>Tsai A.-C.</t>
  </si>
  <si>
    <t>Tsai, An-Chao (15623485600)</t>
  </si>
  <si>
    <t>2020 8th International Conference on Orange Technology, ICOT 2020</t>
  </si>
  <si>
    <t>10.1109/ICOT51877.2020.9468720</t>
  </si>
  <si>
    <t>https://www.scopus.com/inward/record.uri?eid=2-s2.0-85112459956&amp;doi=10.1109%2fICOT51877.2020.9468720&amp;partnerID=40&amp;md5=ec1f3148fb466d31f37f156373a6dfb9</t>
  </si>
  <si>
    <t>Tajen University, Department of Computer Science and Entertainment Technology, Pingtung County, Taiwan</t>
  </si>
  <si>
    <t>Tsai A.-C., Tajen University, Department of Computer Science and Entertainment Technology, Pingtung County, Taiwan</t>
  </si>
  <si>
    <t>This work proposed a Virtual Reality Insects Learning System for elementary school students. Since the application of Virtual Reality has been gradually involved into education recently, the investigation of the effect and its usefulness could be an interesting topic for both content provider and teachers. The proposed work includes fifteen different kinds of insects with individual explanation; students can interact with the system to learn to know each insect. The proposed system is further used to evaluate students' learning experience and perceptions. The experimental results show that students perceived positive motivation and attitudes accompany with less cognitive load in Virtual Reality learning. The results of this work also demonstrate that the Virtual Reality related content provide a brand new learning experience which is helpful for students' study. © 2020 IEEE.</t>
  </si>
  <si>
    <t>Immersive and Interactive Design; Learning System; User Experience; Virtual Reality</t>
  </si>
  <si>
    <t>Citrus fruits; Learning systems; Students; User experience; Virtual reality; Content providers; Design and implementations; Elementary schools; Learning experiences; Reality learning; Related content; Students' learning experiences; User experience evaluations; E-learning</t>
  </si>
  <si>
    <t xml:space="preserve">In this paper:
HTC Vive VR headset was used​
.
Full VR immersive environment with interactive exploration​
.
</t>
  </si>
  <si>
    <t>User Experience Questionnaire focusing on:
Cognitive load (mental effort and mental load)
Motivation (ARCS model: Attention, Relevance, Confidence, Satisfaction)
Attitudes toward VR learning​
.
5-point Likert scale questionnaires were used to measure perceptions after the experience​
.</t>
  </si>
  <si>
    <t xml:space="preserve">Positive Effects:
Students showed high motivation and positive attitudes.
No excessive cognitive load: the VR learning was considered easy and engaging​
.
Learning became more active and playful instead of passive​
.
</t>
  </si>
  <si>
    <t xml:space="preserve">Metrics evaluated:
Mental load
Mental effort
Motivation (Attention, Relevance, Confidence, Satisfaction)
Attitude​
.
Correlation analysis between cognitive load, motivation, and attitude​
.
</t>
  </si>
  <si>
    <t xml:space="preserve">Technologies used:
Unity Real-Time Development Platform​
.
C# programming for VR interactions.
HTC Vive VR system​
.
VR environment modeled as a forest, including 3D animated insects, audio effects (insect sounds), and interactive pop-up explanations​
.
</t>
  </si>
  <si>
    <t>Typical learners, grades 1–2 (ages 7–8, M = 7.5)</t>
  </si>
  <si>
    <t>Biology (insects)</t>
  </si>
  <si>
    <t>ARCS attention 4.14, relevance 3.83, confidence 4.18 (/5); attitude 4.15; 'cognitive load' items are ease-worded (high = easy)</t>
  </si>
  <si>
    <t>No XR effect size; correlations r = .34–.71 among motivation, attitude and load</t>
  </si>
  <si>
    <t>ARCS-based motivation scale (12 items), cognitive-load and attitude scales adapted from prior work (α = .74–.87)</t>
  </si>
  <si>
    <t>44 students (19 F, 25 M)</t>
  </si>
  <si>
    <t>None reported</t>
  </si>
  <si>
    <t>Satisfaction = ARCS satisfaction subscale M = 4.12; small gift given for completing questionnaire; cognitive-load items reverse-meaning – interpret with care</t>
  </si>
  <si>
    <t>Southgate E.</t>
  </si>
  <si>
    <t>Southgate, Erica (6603338182)</t>
  </si>
  <si>
    <t>26th IEEE Conference on Virtual Reality and 3D User Interfaces, VR 2019 - Proceedings</t>
  </si>
  <si>
    <t>10.1109/VR.2019.8797841</t>
  </si>
  <si>
    <t>https://www.scopus.com/inward/record.uri?eid=2-s2.0-85071839854&amp;doi=10.1109%2fVR.2019.8797841&amp;partnerID=40&amp;md5=42304e0c8e19492164e521b0b389811f</t>
  </si>
  <si>
    <t>University of Newcastle, Australia</t>
  </si>
  <si>
    <t>Southgate E., University of Newcastle, Australia</t>
  </si>
  <si>
    <t>This paper uses qualitative data, from a study which embedded virtual reality (VR) in high school science classes, to produce an exemplar designed to illustrate how the technology can promote engagement and Deeper Learning for students. Application of the Deeper Learning conceptual framework to the exemplar provides unique insights into how VR can be deployed in curriculum-aligned ways to develop and combine content mastery, self-directed, collaboration and, perhaps most importantly, creative endeavour in high school science, especially in low income school communities. © 2019 IEEE.</t>
  </si>
  <si>
    <t>Children; Curriculum; Learning; Pedagogy; School; Stem, science education; Virtual reality</t>
  </si>
  <si>
    <t>Curricula; E-learning; Virtual reality; Children; Learning; Pedagogy; School; Science education; User interfaces</t>
  </si>
  <si>
    <t xml:space="preserve">Oculus Rift (CV1) headsets with Touch controllers​
.
Students also used Minecraft VR as the main content creation platform​
.
</t>
  </si>
  <si>
    <t xml:space="preserve">Mixed-methods assessment including:
Pre- and post-tests on content knowledge.
Engagement surveys.
Observations (video recordings in VR).
Student and teacher interviews.
Student work samples​
</t>
  </si>
  <si>
    <t xml:space="preserve">Students:
Showed greater content mastery and critical thinking.
Developed communication, collaboration, and problem-solving skills.
Were highly motivated and proud of their creations​
.
Teachers:
Observed deep learning that exceeded curriculum expectations​
.
</t>
  </si>
  <si>
    <t xml:space="preserve">Content mastery (through assessments and guided tours).
Higher-order thinking (critical thinking, problem-solving during VR project).
Collaboration skills (group project work).
Engagement and motivation levels measured qualitatively​
.
</t>
  </si>
  <si>
    <t xml:space="preserve">Technologies used:
Oculus Rift CV1 HMDs.
Minecraft VR for immersive 3D building.
Unity platform indirectly (Minecraft VR-based environment).
Basic screen recording and hand-held video for observations​
.
</t>
  </si>
  <si>
    <t>Check. Couldn't validade the use of Unity3D plataform. It seams to use a Minecraft-VR building system</t>
  </si>
  <si>
    <t>Year 9 students (ages 14–15) in low-income schools; exemplar of 3 students</t>
  </si>
  <si>
    <t>Science (Minecraft VR projects)</t>
  </si>
  <si>
    <t>Qualitative exemplar of Deeper Learning (content mastery, collaboration, creativity); engagement survey and control-group results NOT reported here</t>
  </si>
  <si>
    <t>Video transcripts in VR, screen capture, student work, teacher interviews</t>
  </si>
  <si>
    <t>Qualitative case study</t>
  </si>
  <si>
    <t>3 students in exemplar (from 56 Year 9 students in the wider study)</t>
  </si>
  <si>
    <t>6–7 weeks; VR in 9–12 one-hour lessons, max 15 min in VR per hour</t>
  </si>
  <si>
    <t>VR time capped for safety</t>
  </si>
  <si>
    <t>Exemplar is purposively the 'most successful case' – selection bias; wider study's quantitative results not in this paper</t>
  </si>
  <si>
    <t>Zhang G.</t>
  </si>
  <si>
    <t>Zhang, Guangwei (57207176910)</t>
  </si>
  <si>
    <t>10.1109/VR.2019.8797734</t>
  </si>
  <si>
    <t>https://www.scopus.com/inward/record.uri?eid=2-s2.0-85071875248&amp;doi=10.1109%2fVR.2019.8797734&amp;partnerID=40&amp;md5=211c0e9166074827d0ea7aa2ff57063d</t>
  </si>
  <si>
    <t>Shaanxi Normal University, China</t>
  </si>
  <si>
    <t>Zhang G., Shaanxi Normal University, China</t>
  </si>
  <si>
    <t>Virtual simulation is an ideal approach for providing situated learning environments in history education, in which virtual reality (VR) and video games are the most widely used approaches in teaching history because of their convenience and popularity. Already-made historical VR materials are usually used for experiencing history, and historical VR materials made by the students could help learn history by 'doing history'. We have been teaching the history and culture of Tang dynasty by the virtually reconstructed Dunhuang Mogao caves as well as the ancient Chang'an city with Minecraft, 3D modeling systems and 360-degree panoramic videos and images. Based on our practices, we propose a workable method for applying virtual simulation in history teaching. According to our experiences using virtual simulation for teaching history, the engagement and the performance of the students increase after virtual simulation based learning is used. © 2019 IEEE.</t>
  </si>
  <si>
    <t>360 Degree; Minecraft; Virutal simulation; Webvr</t>
  </si>
  <si>
    <t>3D modeling; Computer aided instruction; History; Students; Three dimensional computer graphics; User interfaces; Virtual reality; 360 Degree; Minecraft; Panoramic video; Situated learning; Tang Dynasty; Virtual simulations; Virutal simulation; Webvr; E-learning</t>
  </si>
  <si>
    <t>INOurScope</t>
  </si>
  <si>
    <t xml:space="preserve">Used technologies:
VR headsets (e.g., HTC Vive).
Minecraft (sandbox virtual world engine).
360-degree panoramic videos accessible via WebVR​
.
</t>
  </si>
  <si>
    <t>Primarily observational assessments:
Student engagement measured qualitatively through course participation​
.
No structured quantitative assessment like surveys or pre/post-tests was described​
.</t>
  </si>
  <si>
    <t>Students:
Reported higher engagement and more profound understanding of history​
.
Developed 3D spatial skills, analytical thinking, and collaborative abilities.
Teachers:
Reported that XR tools helped simulate historical experiences that otherwise would be inaccessible (e.g., ancient cities, lost sites)​
.</t>
  </si>
  <si>
    <t xml:space="preserve">Metrics were qualitative, not quantitative:
Student engagement, performance improvement, project output (virtual reconstructions)​
.
No use of formal statistical tests or standardized learning measurements.
</t>
  </si>
  <si>
    <t xml:space="preserve">Technologies used:
Minecraft (building historical reconstructions).
Unity + WebVR (A-frame, React-360) (displaying virtual content online)​
.
360-degree cameras for capturing historical sites (real-world documentation).
Blender and Sketchup for 3D modeling​
.
Basic Python programming for automation and VR interactions​
.
</t>
  </si>
  <si>
    <t>Check.
For questions RQ2 and RQ3 does not mention formal tools and metrics, the assessment is done through reflection and review of the course, with the collection of qualitative feedback from students.</t>
  </si>
  <si>
    <t>History-major university students</t>
  </si>
  <si>
    <t>History (Tang dynasty)</t>
  </si>
  <si>
    <t>HMD – PC-tethered + 360° video</t>
  </si>
  <si>
    <t>Teaching-practice description; no data collected</t>
  </si>
  <si>
    <t>Practice report</t>
  </si>
  <si>
    <t>0 (no data)</t>
  </si>
  <si>
    <t>E2: No learner data (teaching-practice description)</t>
  </si>
  <si>
    <t>No empirical data; university level</t>
  </si>
  <si>
    <t>Schiavi B.; Gechter F.; Gechter C.; Rizzo A.</t>
  </si>
  <si>
    <t>Schiavi, Barbara (57203971676); Gechter, Franck (55941348600); Gechter, Celine (57203971553); Rizzo, Albert (57189943380)</t>
  </si>
  <si>
    <t>57203971676; 55941348600; 57203971553; 57189943380</t>
  </si>
  <si>
    <t>25th IEEE Conference on Virtual Reality and 3D User Interfaces, VR 2018 - Proceedings</t>
  </si>
  <si>
    <t>10.1109/VR.2018.8446412</t>
  </si>
  <si>
    <t>https://www.scopus.com/inward/record.uri?eid=2-s2.0-85053840416&amp;doi=10.1109%2fVR.2018.8446412&amp;partnerID=40&amp;md5=8ec84811250187048cfe18dcb453989b</t>
  </si>
  <si>
    <t>University of Technology of Belfort-Montbeliard, Belfort, Cedex, F-90010, France; College Simone Signoret/ Lycée Condorcet, Belfort, 90000, France; University of Southern California, Institute for Creative Technologies, United States</t>
  </si>
  <si>
    <t>Schiavi B., University of Technology of Belfort-Montbeliard, Belfort, Cedex, F-90010, France; Gechter F., University of Technology of Belfort-Montbeliard, Belfort, Cedex, F-90010, France; Gechter C., College Simone Signoret/ Lycée Condorcet, Belfort, 90000, France; Rizzo A., University of Southern California, Institute for Creative Technologies, United States</t>
  </si>
  <si>
    <t>Augmented Reality (AR) is now more and more widespread in many application fields. Thanks to the new progresses in computer power, AR can now be used widely in education without any expensive additional devices. In this paper is presented the feedback of an experimental protocol using an AR application as an additional support for a History lesson in secondary schools. Even if the technical part has a lead role in the student experience, the most challenging issue is related to the choice of the teaching lesson as itself which must fit several, sometimes contradictory, requirements. © 2018 IEEE.</t>
  </si>
  <si>
    <t>Augmented Reality; HCI design and evaluation methods-User studies; History; Human-centered computing [Human computer interaction (HCI)]; Pedagogical application</t>
  </si>
  <si>
    <t>Augmented reality; History; Human computer interaction; Teaching; Virtual reality; Application fields; Augmented reality applications; Computer power; Experimental protocols; Human Computer Interaction (HCI); Secondary schools; Student experiences; User study; User interfaces</t>
  </si>
  <si>
    <t>Agree</t>
  </si>
  <si>
    <t>Used devices:
Mobile Augmented Reality (AR) on smartphones and tablets​
.
Optionally combined with simple VR viewers (like Google Cardboard) for stereoscopic view​
.</t>
  </si>
  <si>
    <t>Tools used:
Student Surveys: Likert-scale questionnaire (++,+,-,--)​
.
Exercise sheets: task performance evaluated based on exercise completion​
.
Observational data during the activity.</t>
  </si>
  <si>
    <t>Students:
Found AR easy to use (92% agreed).
Motivated to work autonomously (100% agreed).
Improved memorization and understanding speed​
.
Teachers:
Observed that students needed less time to complete tasks and achieved better results​
.</t>
  </si>
  <si>
    <t>Metrics:
Ease of Use
Motivation and Engagement
Understanding speed
Task performance accuracy
Compared AR-aided students versus traditional-method students (historical comparison)​
.</t>
  </si>
  <si>
    <t xml:space="preserve">Technologies used:
AR app: "Teach Me A Story" (custom-developed).
Tablet and smartphone platforms.
Optional Cardboard VR viewer for stereoscopic view​
.
</t>
  </si>
  <si>
    <t>Check, Not defined RQ5</t>
  </si>
  <si>
    <t>6th-grade students (French sixième, ~11 years)</t>
  </si>
  <si>
    <t>Mobile/tablet AR</t>
  </si>
  <si>
    <t>Task done in ~20 min vs ~60 min expected with traditional documents; authors report enthusiasm and motivation; many needed help/manual</t>
  </si>
  <si>
    <t>Author-made 4-point (– – / – / + / ++) survey co-designed with teacher; exercise sheets</t>
  </si>
  <si>
    <t>Non-randomised with historical control</t>
  </si>
  <si>
    <t>26 students (working in pairs)</t>
  </si>
  <si>
    <t>One lesson, ~20 min</t>
  </si>
  <si>
    <t>Most wanted a user manual / had control problems</t>
  </si>
  <si>
    <t>Survey table is garbled in the PDF – item-level % unreliable; 'historical control' is teacher expectation, not measured data</t>
  </si>
  <si>
    <t>Solmaz S.; Kester L.; Van Gerven T.</t>
  </si>
  <si>
    <t>Solmaz, Serkan (57211815489); Kester, Liesbeth (57204347365); Van Gerven, Tom (55923234900)</t>
  </si>
  <si>
    <t>57211815489; 57204347365; 55923234900</t>
  </si>
  <si>
    <t>Education and Information Technologies</t>
  </si>
  <si>
    <t>10.1007/s10639-023-11747-z</t>
  </si>
  <si>
    <t>https://www.scopus.com/inward/record.uri?eid=2-s2.0-85151414483&amp;doi=10.1007%2fs10639-023-11747-z&amp;partnerID=40&amp;md5=c225084e8936b9988069838e2c1f1f7d</t>
  </si>
  <si>
    <t>Department of Chemical Engineering, KU Leuven, Celestijnenlaan 200F, Leuven, 3001, Belgium; Department of Education, Utrecht University, Utrecht, Netherlands</t>
  </si>
  <si>
    <t>Solmaz S., Department of Chemical Engineering, KU Leuven, Celestijnenlaan 200F, Leuven, 3001, Belgium; Kester L., Department of Education, Utrecht University, Utrecht, Netherlands; Van Gerven T., Department of Chemical Engineering, KU Leuven, Celestijnenlaan 200F, Leuven, 3001, Belgium</t>
  </si>
  <si>
    <t>Virtual reality has become a significant asset to diversify the existing toolkit supporting engineering education and training. The cognitive and behavioral advantages of virtual reality (VR) can help lecturers reduce entry barriers to concepts that students struggle with. Computational fluid dynamics (CFD) simulations are imperative tools intensively utilized in the design and analysis of chemical engineering problems. Although CFD simulation tools can be directly applied in engineering education, they bring several challenges in the implementation and operation for both students and lecturers. In this study, we develop the “Virtual Garage” as a task-centered educational VR application with CFD simulations to tackle these challenges. The Virtual Garage is composed of a holistic immersive virtual reality experience to educate students with a real-life engineering problem solved by CFD simulation data. The prototype is tested by graduate students (n = 24) assessing usability, user experience, task load and simulator sickness via standardized questionnaires together with self-reported metrics and a semi-structured interview. Results show that the Virtual Garage is well-received by participants. We identify features that can further leverage the quality of the VR experience with CFD simulations. Implications are incorporated throughout the study to provide practical guidance for developers and practitioners. © The Author(s), under exclusive licence to Springer Science+Business Media, LLC, part of Springer Nature 2023.</t>
  </si>
  <si>
    <t>Computational fluid dynamics; Engineering education; Immersive learning; Virtual reality</t>
  </si>
  <si>
    <t xml:space="preserve">Devices used:
Meta Quest 2 VR headsets​
.
Fully immersive 6 Degrees of Freedom (6-DoF) VR experience​
</t>
  </si>
  <si>
    <t xml:space="preserve">Standardized tools:
System Usability Scale (SUS): for usability​
.
NASA-TLX: for perceived task load​
.
User Experience Questionnaire (UEQ): for measuring pragmatic and hedonic quality​
.
Simulator Sickness Questionnaire (SSQ): for physical and cognitive discomfort​
.
Plus:
Self-reported questionnaires.
Semi-structured interviews​
</t>
  </si>
  <si>
    <t>Students:
Reported high usability (SUS &gt; 74/100).
No significant frustration even with demanding tasks.
Strong improvement in spatial understanding, problem-solving, and decision-making​
.
Teachers:
Identified VR as an effective tool for teaching complex, real-world engineering problems​
.</t>
  </si>
  <si>
    <t>Usability (SUS scores)
Task Load (NASA-TLX)
User Experience (UEQ for pragmatic and hedonic qualities)
Simulator sickness (SSQ scores)
Self-reported metrics (e.g., perceived intuitiveness, ease of interaction)
Qualitative thematic analysis from interviews​
.</t>
  </si>
  <si>
    <t xml:space="preserve">Technologies used:
Unity Game Engine for VR development​
.
OpenFOAM and COMSOL for CFD simulation​
.
Integration of CFD data into Unity via a custom data processing pipeline​
.
Gamification elements: puzzles, badges, roleplay scenarios​
.
</t>
  </si>
  <si>
    <t>Education apply for students</t>
  </si>
  <si>
    <t>Graduate students (17 PhD, 7 Master), ages 22–31</t>
  </si>
  <si>
    <t>Chemical engineering (CFD)</t>
  </si>
  <si>
    <t>SUS 74.4 / 73.9 (2 modules); UEQ overall 1.41 / 1.42 (good); hedonic 1.17 → 1.47; NASA-TLX mental demand +52% in module 2</t>
  </si>
  <si>
    <t>Not reported (Wilcoxon between modules; pragmatic quality p = .048)</t>
  </si>
  <si>
    <t>SUS; UEQ; NASA-TLX; SSQ; interviews</t>
  </si>
  <si>
    <t>24 graduate students</t>
  </si>
  <si>
    <t>One session, ~2 h (two VR modules)</t>
  </si>
  <si>
    <t>Simulator sickness in 11/24; total SSQ 23.5 (module 1) → 11.5 (module 2)</t>
  </si>
  <si>
    <t>Outside basic education: Graduate students</t>
  </si>
  <si>
    <t>Graduate students – outside basic education; comparison is between two VR modules, not VR vs non-VR</t>
  </si>
  <si>
    <t>Gerini L.; Delzanno G.; Guerrini G.; Solari F.; Chessa M.</t>
  </si>
  <si>
    <t>Gerini, Lorenzo (58059107800); Delzanno, Giorgio (56261525500); Guerrini, Giovanna (7003908669); Solari, Fabio (6603393665); Chessa, Manuela (25652939100)</t>
  </si>
  <si>
    <t>58059107800; 56261525500; 7003908669; 6603393665; 25652939100</t>
  </si>
  <si>
    <t>ACM International Conference Proceeding Series</t>
  </si>
  <si>
    <t>10.1145/3617553.3617886</t>
  </si>
  <si>
    <t>https://www.scopus.com/inward/record.uri?eid=2-s2.0-85180013745&amp;doi=10.1145%2f3617553.3617886&amp;partnerID=40&amp;md5=338859720a7570ac974d211c33fc2b77</t>
  </si>
  <si>
    <t>University of Genoa, Genova, Italy</t>
  </si>
  <si>
    <t>Gerini L., University of Genoa, Genova, Italy; Delzanno G., University of Genoa, Genova, Italy; Guerrini G., University of Genoa, Genova, Italy; Solari F., University of Genoa, Genova, Italy; Chessa M., University of Genoa, Genova, Italy</t>
  </si>
  <si>
    <t>In Computer Science Education, coding activities are extremely important to teach younger students the basics of programming and computational thinking. To provide an immersive experience, in this paper, we propose VRCoding, a Virtual Reality (VR)-based block coding system. VRCoding can teach computational thinking in an immersive Virtual Reality environment, exploiting passive haptics to improve interaction and give tactile feedback to the users. Passive haptics is obtained using simple physics placeholders, i.e., textured parallelepipeds, that are tracked in real-Time, and aligned with the coding blocks in VR. The system is tested on a group of secondary school users, performing simple coding exercises with a standard monitor-based block coding environment and with the proposed VRCoding block language. Results show positive feedback concerning the sense of presence and the user experience.  © 2023 Owner/Author.</t>
  </si>
  <si>
    <t>coding; computational thinking; extended reality; gamification; passive haptics; virtual reality</t>
  </si>
  <si>
    <t>Computer programming; Education computing; Textures; Block coding; Coding; Computational thinkings; Computer Science Education; Extended reality; Gamification; Haptics; Immersive; Passive haptic; Simple++; Virtual reality</t>
  </si>
  <si>
    <t>Association for Computing Machinery</t>
  </si>
  <si>
    <t>All Open Access; Hybrid Gold Open Access</t>
  </si>
  <si>
    <t>The 2023 study by Gerini et al. introduces VRCoding, a Virtual Reality (VR)-based block coding system designed to teach computational thinking to younger students. By leveraging passive haptics, the system provides tactile feedback to enhance interaction with coding exercises. Passive haptics is achieved through simple physics placeholders (textured parallelepipeds) that align with coding blocks in VR. Tested with secondary school students, the system showed positive feedback regarding user experience and the sense of presence. The study highlights the potential of VR as an immersive tool for teaching coding and computational thinking.</t>
  </si>
  <si>
    <t>Agreed</t>
  </si>
  <si>
    <t>Device: Meta Quest 2 (VR headset).
Uses passive haptics with real-world physical blocks (cardboard) synced with VR objects.
No use of CAVE VR or AR.</t>
  </si>
  <si>
    <t>Slater-Usoh-Steed (SUS) questionnaire: Measures sense of presence (1–7 scale).
User Experience Questionnaire (UEQ): Assesses attractiveness, efficiency, novelty, etc.
Performance metrics:
Task completion time
Number of errors
Free-text feedback on user experience and immersion.</t>
  </si>
  <si>
    <t>Effects on students:
Higher immersion, especially due to tactile interaction.
Increased engagement through gamification and arcade-style environment.
Some issues with object tracking and VR keyboard input slowed performance.
Effects on teachers/designers:
Demonstrates a new way to teach coding with real-world elements inside VR.
Highlights design needs (e.g., improving tracking and deleting blocks in VR).</t>
  </si>
  <si>
    <t>Completion time (VRCoding: ~232s, Blockly: ~150s).
Error count (1 per condition).
SUS presence score (VRCoding: 5.5, Blockly: 4.0).
UEQ scores:
VRCoding scored higher on Attractiveness, Novelty, and Stimulation.
Blockly scored higher on Efficiency and Dependability.</t>
  </si>
  <si>
    <t>Technologies used:
Unity 3D (for VR environment and block editor).
Vuforia SDK (for 6DoF object tracking).
Passive haptics: Real cardboard blocks matched with VR code blocks.
UEBlockly: A custom visual programming language for Unity VR.
Meta Quest 2: For headset-based immersive experiences.
Custom-built arcade room and code-based mini-games.</t>
  </si>
  <si>
    <t>Couldn't download the paper</t>
  </si>
  <si>
    <t>Lorenzo</t>
  </si>
  <si>
    <t>lorenzo.gerini@edu.unige.it</t>
  </si>
  <si>
    <t>High-school CS interns + young adults (main test M age 20.9)</t>
  </si>
  <si>
    <t>Computational thinking / block coding</t>
  </si>
  <si>
    <t>HMD – standalone (Quest 2) + passive haptic blocks</t>
  </si>
  <si>
    <t>Presence 5.5 vs 4.0 (VR vs Blockly, p &lt; .01); completion time 233 s vs 150 s (p = .073); UEQ attractiveness/stimulation/novelty higher in VR, efficiency/dependability higher for Blockly; pilot (n = 15): UEQ attractiveness 1.80, stimulation 1.90</t>
  </si>
  <si>
    <t>Presence d ≈ 1.3 (computed by reviewer from reported M/SD)</t>
  </si>
  <si>
    <t>UEQ; Slater-Usoh-Steed presence questionnaire; time and errors</t>
  </si>
  <si>
    <t>15 students (pilot) + 8 participants (within-subject test)</t>
  </si>
  <si>
    <t>Single session per condition (duration NR)</t>
  </si>
  <si>
    <t>Tracking failures; virtual keyboard difficulties</t>
  </si>
  <si>
    <t>Pseudorandom order; tiny sample; UEQ differences not tested</t>
  </si>
  <si>
    <t>Hiererra S.E.; Kurniawan Y.; Mahardhika S.; Saputra P.C.; Hentihu M.T.R.</t>
  </si>
  <si>
    <t>Hiererra, Siti Elda (56352510900); Kurniawan, Yohannes (57211005053); Mahardhika, Satrya (58684564500); Saputra, Prasetya Cahya (57280666800); Hentihu, Moh Thaha Rizieq (58684404700)</t>
  </si>
  <si>
    <t>56352510900; 57211005053; 58684564500; 57280666800; 58684404700</t>
  </si>
  <si>
    <t>Proceedings of 2023 International Conference on Information Management and Technology, ICIMTech 2023</t>
  </si>
  <si>
    <t>10.1109/ICIMTech59029.2023.10277914</t>
  </si>
  <si>
    <t>https://www.scopus.com/inward/record.uri?eid=2-s2.0-85175980074&amp;doi=10.1109%2fICIMTech59029.2023.10277914&amp;partnerID=40&amp;md5=e1ee5849cf2f2cb18c690d2a056e4254</t>
  </si>
  <si>
    <t>School of Information Systems Bina Nusantara University, Information Systems Department, Jakarta, 11480, Indonesia; School of Design Bina Nusantara University, Visual Communication Design Department, Jakarta, 11480, Indonesia</t>
  </si>
  <si>
    <t>Hiererra S.E., School of Information Systems Bina Nusantara University, Information Systems Department, Jakarta, 11480, Indonesia; Kurniawan Y., School of Information Systems Bina Nusantara University, Information Systems Department, Jakarta, 11480, Indonesia; Mahardhika S., School of Design Bina Nusantara University, Visual Communication Design Department, Jakarta, 11480, Indonesia; Saputra P.C., School of Information Systems Bina Nusantara University, Information Systems Department, Jakarta, 11480, Indonesia; Hentihu M.T.R., School of Information Systems Bina Nusantara University, Information Systems Department, Jakarta, 11480, Indonesia</t>
  </si>
  <si>
    <t>This paper aims to find out how to prototype XR-based learning which can be easy and interesting for elementary school children, and how is the evaluation process of the prototype; this research employs the EON-XR platform to design the prototype and uses UEQ (User Experience Questionnaire) method to evaluate the prototype; the authors determine two research questions then explains the answers by showing the example of the prototype. The evaluation result refers to the UEQ data analysis tool formula; the result is that the highest point is on the attractiveness and stimulation scale followed by the efficiency, dependability, and novelty scale, and the lowest point is on the perspicuity scale. The originality of the research, this study provides the prototype and the evaluation result using UEQ guidelines to find out the extent of student engagement and experience while using teaching materials on the EON-XR platform. This can help educators, especially teachers, in determining the best way to teach students by utilizing an XR-based learning technology platform to achieve sustainable and quality education. © 2023 IEEE.</t>
  </si>
  <si>
    <t>elementary school; extended reality; quality education; sustainability; user experience; UX design; UX research</t>
  </si>
  <si>
    <t>Quality control; Students; User experience; Data analysis tool; Elementary schools; Evaluation results; Extended reality; Quality education; Questionnaire data; Research questions; Users' experiences; UX design; UX research; Sustainable development</t>
  </si>
  <si>
    <t>The 2023 paper explores the development and evaluation of an XR-based learning prototype designed for elementary school children, with the goal of promoting sustainable and quality education. The prototype was created using the EON-XR platform and evaluated using the UEQ (User Experience Questionnaire) method. The research aims to answer how to design engaging and easy XR learning experiences for children and assess the effectiveness of the prototype. The evaluation results indicated that the highest scores were in the attractiveness and stimulation scales, followed by efficiency, dependability, and novelty. The lowest score was in the perspicuity scale. The originality of this study lies in the detailed prototype and its evaluation, offering insights into student engagement and user experience when using XR-based teaching tools. This research can guide educators in selecting effective methods to incorporate XR technology into their teaching to achieve sustainable and high-quality education.</t>
  </si>
  <si>
    <t xml:space="preserve">Devices and platform used:
EON-XR Platform (Web-based XR and mobile app compatible)​
.
Accessed via standard mobile devices, tablets, or PCs (no immersive VR headset needed)​
.
</t>
  </si>
  <si>
    <t>User Experience Questionnaire (UEQ)​
:
6 scales: Attractiveness, Perspicuity, Efficiency, Dependability, Stimulation, Novelty.</t>
  </si>
  <si>
    <t>Students:
Reported high enjoyment, motivation, and positive engagement​
.
Strong excitement from the interactive visuals and experiences.
Teachers:
Saw XR as a tool to help modernize their teaching style and make learning more effective and playful​
.</t>
  </si>
  <si>
    <t xml:space="preserve">UEQ scales:
Attractiveness: 2.30 (Excellent)
Efficiency: 1.95 (Excellent)
Dependability: 1.94 (Excellent)
Stimulation: 2.02 (Excellent)
Novelty: 1.76 (Excellent)
Perspicuity: 1.54 (Above Average)​
.
The scores were benchmarked against global UEQ database.
</t>
  </si>
  <si>
    <t xml:space="preserve">Technologies used:
EON-XR platform​
.
Multimedia content: 3D objects, animations, images, videos, quizzes, audio overlays.
Web-based XR experiences without requiring heavy VR hardware.
</t>
  </si>
  <si>
    <t>Grade-6 students, one private school (Tangerang)</t>
  </si>
  <si>
    <t>Solar system (science) – framed as SDG 4 / sustainability</t>
  </si>
  <si>
    <t>EON-XR on students' own devices (type NR)</t>
  </si>
  <si>
    <t>UEQ: attractiveness 2.30, stimulation 2.02, efficiency 1.95, dependability 1.94, novelty 1.76, perspicuity 1.54 (all 'excellent' except perspicuity)</t>
  </si>
  <si>
    <t>UEQ (26 items)</t>
  </si>
  <si>
    <t>40 valid of 50 responses (25 M, 15 F)</t>
  </si>
  <si>
    <t>Access over 5 days (remote, via Zoom link)</t>
  </si>
  <si>
    <t>Topic is the solar system, not sustainability; purposive sample from one school</t>
  </si>
  <si>
    <t>Hidayat T.N.; Purnomo F.A.; Pratisto E.H.; Nusantara K.T.; Yudhanto Y.</t>
  </si>
  <si>
    <t>Hidayat, Taufiqurrakhman Nur (57212360109); Purnomo, Fendi Aji (57193325119); Pratisto, Eko Harry (56611900000); Nusantara, Ksatria Tirta (58850320500); Yudhanto, Yudho (57031894200)</t>
  </si>
  <si>
    <t>57212360109; 57193325119; 56611900000; 58850320500; 57031894200</t>
  </si>
  <si>
    <t>2023 8th International Conference on Informatics and Computing, ICIC 2023</t>
  </si>
  <si>
    <t>10.1109/ICIC60109.2023.10382058</t>
  </si>
  <si>
    <t>https://www.scopus.com/inward/record.uri?eid=2-s2.0-85183470784&amp;doi=10.1109%2fICIC60109.2023.10382058&amp;partnerID=40&amp;md5=3c1f78b33ba219ec1f7ea0f1aeedde12</t>
  </si>
  <si>
    <t>Universitas Sebelas Maret, Vocational School, Department of Informatics Engineering, Surakarta, Indonesia</t>
  </si>
  <si>
    <t>Hidayat T.N., Universitas Sebelas Maret, Vocational School, Department of Informatics Engineering, Surakarta, Indonesia; Purnomo F.A., Universitas Sebelas Maret, Vocational School, Department of Informatics Engineering, Surakarta, Indonesia; Pratisto E.H., Universitas Sebelas Maret, Vocational School, Department of Informatics Engineering, Surakarta, Indonesia; Nusantara K.T., Universitas Sebelas Maret, Vocational School, Department of Informatics Engineering, Surakarta, Indonesia; Yudhanto Y., Universitas Sebelas Maret, Vocational School, Department of Informatics Engineering, Surakarta, Indonesia</t>
  </si>
  <si>
    <t>This study delves into the utilization of Virtual Reality (VR) technology for teaching traffic signs to young children, emphasizing a developmental interaction approach. It goes beyond previous VR education studies by integrating a steering wheel into the learning experience, aiming to understand children's engagement, user-friendliness, and satisfaction. Adopting the Game Design Life Cycle (GDLC) for development, the VR Traffic Land application targets children aged 4 to 7, a group prone to road accidents. End-user testing with BIMBA children yields varied evaluations, with 30% rating it 'Excellent,' 40% 'Good,' 18% 'Fair,' and 10% 'Poor' or 'Very Poor.' Assessments include user satisfaction, usability, reusage, audio clarity, and UI visibility. While satisfaction is predominant, identified areas for improvement ensure continuous enhancement. The study anticipates future research avenues, including health-related VR applications for children, exploring VR's impact on early learning and potential enhancements to cognitive and psychomotor skills.  © 2023 IEEE.</t>
  </si>
  <si>
    <t>Early Childhood; Learning Media; Traffic Sign; Virtual Reality</t>
  </si>
  <si>
    <t>E-learning; Life cycle; Traffic signs; User interfaces; Early childhoods; Game design; Learning experiences; Learning media; Steering wheel; Technology for teachings; User friendliness; Users' satisfactions; Virtual reality technology; Young children; Virtual reality</t>
  </si>
  <si>
    <t>The paper "Virtual Reality-Based Traffic Sign Education for Early Childhood" (2023) explores the use of Virtual Reality (VR) technology to teach traffic signs to young children (ages 4-7). It introduces an innovative approach by incorporating a steering wheel into the learning experience, which aims to enhance engagement, user-friendliness, and overall satisfaction. The VR Traffic Land application was developed using the Game Design Life Cycle (GDLC) and tested with children from BIMBA (a group of children in Surakarta, Indonesia). The user feedback showed positive results, with 30% rating the experience as 'Excellent', 40% as 'Good', and 18% as 'Fair'. However, 10% rated it 'Poor' or 'Very Poor'. The evaluation included aspects such as user satisfaction, usability, audio clarity, and UI visibility, with a general trend toward satisfaction but with room for improvement. The study suggests future research opportunities, including the use of VR for health-related education and its impact on early learning, as well as potential enhancements to cognitive and psychomotor skills in young children.</t>
  </si>
  <si>
    <t>Devices used:
Oculus Quest 2 VR headset​
.
Logitech G29 Steering Wheel integrated for a driving simulation experience​
.</t>
  </si>
  <si>
    <t xml:space="preserve">End-User Testing:
Feedback survey on:
User Satisfaction
Usability Difficulties
Application Reusage intention
Audio Clarity
UI Visibility​
.
Responses categorized as Excellent, Good, Fair, Poor, or Very Poor.
</t>
  </si>
  <si>
    <t xml:space="preserve">Students (young children):
30% rated the experience Excellent, 40% Good, 18% Fair, and 10% Poor/Very Poor​
.
Enjoyment and usability were rated positively; some had issues with complex UI​
.
Teachers:
Recognized the potential of VR to enhance early traffic education but saw a need for simpler UI design for younger ages​
.
</t>
  </si>
  <si>
    <t xml:space="preserve">Metrics:
Satisfaction score
Usability feedback
Willingness to reuse the application
Audio clarity
UI visibility​
.
No formal statistical test applied (basic descriptive statistics used).
</t>
  </si>
  <si>
    <t xml:space="preserve">Technologies used:
Unity Engine for development​
.
XR Interaction Toolkit (Unity package)​
.
NWH Vehicle Physics 2 (vehicle driving simulation module)​
.
Logitech Gaming SDK for steering wheel integration​
.
</t>
  </si>
  <si>
    <t>Children aged ~4–7 (BIMBA reading-interest programme)</t>
  </si>
  <si>
    <t>Road safety (traffic signs)</t>
  </si>
  <si>
    <t>HMD – standalone (+ steering wheel)</t>
  </si>
  <si>
    <t>Satisfaction: 30% excellent, 50% good, 20% fair; reuse: 40% excellent, 50% good; usability difficulties rated worse</t>
  </si>
  <si>
    <t>Author-made 5-item rating (excellent → very poor)</t>
  </si>
  <si>
    <t>30 children</t>
  </si>
  <si>
    <t>UI hard for some children; standalone HMD used with 4–7-year-olds (below manufacturer age guidance)</t>
  </si>
  <si>
    <t>Earlier 'Mixed' code corrected to '+': the 10% poor ratings were on other items, not satisfaction</t>
  </si>
  <si>
    <t>Han R.; Feng Z.; Fan X.; Xu T.; Tian J.; Meng J.</t>
  </si>
  <si>
    <t>Han, Rui (57205692252); Feng, Zhiquan (7403443516); Fan, Xue (57197729874); Xu, Tao (56683649700); Tian, Jinglan (57208750027); Meng, Junhong (56198200400)</t>
  </si>
  <si>
    <t>57205692252; 7403443516; 57197729874; 56683649700; 57208750027; 56198200400</t>
  </si>
  <si>
    <t>Proceedings of 2020 IEEE 4th Information Technology, Networking, Electronic and Automation Control Conference, ITNEC 2020</t>
  </si>
  <si>
    <t>10.1109/ITNEC48623.2020.9085016</t>
  </si>
  <si>
    <t>https://www.scopus.com/inward/record.uri?eid=2-s2.0-85086244789&amp;doi=10.1109%2fITNEC48623.2020.9085016&amp;partnerID=40&amp;md5=548abb6152acb78a039984446a2b35f9</t>
  </si>
  <si>
    <t>School of Information Science and Engineering, University of Jinan, 250022, China; Shandong Provincial Key Laboratory of Network-based Intelligent Computing, Jinan, 250022, China</t>
  </si>
  <si>
    <t>Han R., School of Information Science and Engineering, University of Jinan, 250022, China, Shandong Provincial Key Laboratory of Network-based Intelligent Computing, Jinan, 250022, China; Feng Z., School of Information Science and Engineering, University of Jinan, 250022, China, Shandong Provincial Key Laboratory of Network-based Intelligent Computing, Jinan, 250022, China; Fan X., School of Information Science and Engineering, University of Jinan, 250022, China, Shandong Provincial Key Laboratory of Network-based Intelligent Computing, Jinan, 250022, China; Xu T., School of Information Science and Engineering, University of Jinan, 250022, China, Shandong Provincial Key Laboratory of Network-based Intelligent Computing, Jinan, 250022, China; Tian J., School of Information Science and Engineering, University of Jinan, 250022, China, Shandong Provincial Key Laboratory of Network-based Intelligent Computing, Jinan, 250022, China; Meng J., School of Information Science and Engineering, University of Jinan, 250022, China, Shandong Provincial Key Laboratory of Network-based Intelligent Computing, Jinan, 250022, China</t>
  </si>
  <si>
    <t>In middle school biology teaching and learning, there are many biological structures that students need to understand and master. Traditional classrooms mostly use video and PPT to teach, which is not conducive to students' understanding of three-dimensional structure, thus making it difficult to learn biological knowledge. In order to solve the problem of 3D biological structure learning, this paper proposes a natural interaction-based VR biology learning system method, which intelligently perceives the user's interaction intention and interacts with the user through virtual reality technology and multi-modal fusion technology. The innovation of this paper lies in: Firstly, a new VR biological learning system based on natural interaction is proposed. Through the fusion of gestures and speech, the user interacts naturally with the system. This method frees the user's hands from the constraints of the mouse and keyboard and the handle, enhancing the immersion of virtual reality. Secondly, this paper proposes a multi-modal fusion algorithm, which makes full use of the advantages of gestures and speech and compensates for their shortcomings, so as to better perceive the user's operational intention. It makes up for the shortcomings of the virtual learning system's lack of intelligence, so that users get a more convenient and more natural interactive experience. According to the user's experience feedback, the system proposed in this paper can better stimulate students' interest in learning, and can present the abstract three-dimensional knowledge in front of the user more intuitively. It has the good intelligence and the operation experience feeling, can reduce the user's use load effectively, the user operates more conveniently. © 2020 IEEE.</t>
  </si>
  <si>
    <t>biological learning system; human-computer interaction; multi-mode fusion; user intention perception; virtual reality</t>
  </si>
  <si>
    <t>Engineering education; Mammals; Students; User experience; Virtual reality; Biological structures; Experience feedback; Natural interactions; Operation experiences; Students' interests; Teaching and learning; Three-dimensional structure; Virtual reality technology; Learning systems</t>
  </si>
  <si>
    <t>Basic Student</t>
  </si>
  <si>
    <t xml:space="preserve">Devices and platforms:
VR headset (unspecified model)
Kinect sensor for gesture recognition
Built using Unity3D​
.
</t>
  </si>
  <si>
    <t xml:space="preserve">A comparison study:
Users evaluated three systems: traditional video/PPT, NoBook system (keyboard/mouse VR), and the new Natural VR system​
.
Tools used:
User satisfaction survey
Learning preference questionnaire
Descriptive feedback and observations​
.
</t>
  </si>
  <si>
    <t>Students:
93.3% preferred the natural interaction VR system.
Reported higher immersion, better 3D perception, and lower operational difficulty​
.
Teachers:
Recognized the benefit of natural interaction for improving comprehension of complex structures.</t>
  </si>
  <si>
    <t xml:space="preserve">Comparative feedback data:
User evaluation on immersion, usability, intelligence, and interest across three systems.
User preference (choice of preferred learning system).
Observational data of interaction and completion​
.
</t>
  </si>
  <si>
    <t xml:space="preserve">Technologies used:
Unity3D for system development
VR headset + Kinect
MF-GVM algorithm (Multimodal Fusion of Gesture and Voice Monitoring) to detect user intent and provide adaptive interaction​
.
</t>
  </si>
  <si>
    <t>30 'users' (level and age not reported)</t>
  </si>
  <si>
    <t>Biology (3D structures)</t>
  </si>
  <si>
    <t>HMD – unspecified + gesture/voice sensors</t>
  </si>
  <si>
    <t>93.3% preferred the natural-interaction VR over video/PPT and desktop VR (NoBook); higher rated immersion and interest</t>
  </si>
  <si>
    <t>Author-made evaluation questionnaire + preference choice</t>
  </si>
  <si>
    <t>30 users</t>
  </si>
  <si>
    <t>Single session with all three methods (duration NR)</t>
  </si>
  <si>
    <t>Outside basic education: Participants not described (level/age unknown)</t>
  </si>
  <si>
    <t>Participants not described (may not be school students); order of conditions not reported</t>
  </si>
  <si>
    <t>Pyae A.; Ravyse W.; Luimula M.; Pizarro-Lucas E.; Sanchez P.L.; Dorado-Diaz I.P.; Thaw A.K.</t>
  </si>
  <si>
    <t>Pyae, Aung (56297864900); Ravyse, Werner (57191280111); Luimula, Mika (17435411000); Pizarro-Lucas, Emiliana (55797156800); Sanchez, Pedro L. (56517119100); Dorado-Diaz, Ignacio P. (57219765897); Thaw, Aung Khant (58670817100)</t>
  </si>
  <si>
    <t>56297864900; 57191280111; 17435411000; 55797156800; 56517119100; 57219765897; 58670817100</t>
  </si>
  <si>
    <t>Electronics (Switzerland)</t>
  </si>
  <si>
    <t>10.3390/electronics12204283</t>
  </si>
  <si>
    <t>https://www.scopus.com/inward/record.uri?eid=2-s2.0-85175239476&amp;doi=10.3390%2felectronics12204283&amp;partnerID=40&amp;md5=ff80a39764837c1af8ab6b38e9db24ca</t>
  </si>
  <si>
    <t>International School of Engineering, Faculty of Engineering, Chulalongkorn University, Bangkok, 10330, Thailand; Futuristic Interactive Technologies Research Group, Turku University of Applied Sciences, Turku, 20520, Finland; SIPPE, University of Salamanca, Salamanca, 37008, Spain; CIBERCV, IBSAL, Faculty of Medicine, Hospital of Salamanca, Salamanca, 37008, Spain; Faculty of Medicine, University of Salamanca, Salamanca, 37008, Spain; Faculty of Engineering, King Mongkut’s University of Technology Thonburi, Bangkok, 10330, Thailand</t>
  </si>
  <si>
    <t>Pyae A., International School of Engineering, Faculty of Engineering, Chulalongkorn University, Bangkok, 10330, Thailand; Ravyse W., Futuristic Interactive Technologies Research Group, Turku University of Applied Sciences, Turku, 20520, Finland; Luimula M., Futuristic Interactive Technologies Research Group, Turku University of Applied Sciences, Turku, 20520, Finland; Pizarro-Lucas E., SIPPE, University of Salamanca, Salamanca, 37008, Spain; Sanchez P.L., CIBERCV, IBSAL, Faculty of Medicine, Hospital of Salamanca, Salamanca, 37008, Spain; Dorado-Diaz I.P., Faculty of Medicine, University of Salamanca, Salamanca, 37008, Spain; Thaw A.K., Faculty of Engineering, King Mongkut’s University of Technology Thonburi, Bangkok, 10330, Thailand</t>
  </si>
  <si>
    <t>The metaverse, a rapidly evolving research area, is a virtual, interconnected universe that seamlessly integrates digital and physical realms, facilitating immersive experiences, social interaction, and economic activities across various fields, including computer science, business, and education. Despite its potential to transform current pedagogies and learning experiences through engaging, interactive, and fascinating educational techniques, research is limited in exploring its application, usability, and user experience, particularly for Thai undergraduate students in learning computer engineering courses. In response, we designed and developed an innovative metaverse-based learning system called the AIIS collaborative learning interface, tailored to European undergraduate students. While the original intent of AIIS was to cater to medical students, in this study, our objective was to assess its usability and applicability for computer science and engineering students, specifically focusing on the Asian demographic. After an initial pilot with European students in their local context, the research was extended to Thailand, where 21 Thai undergraduate students evaluated the platform’s usability. The observations from this study indicate that AIIS provides a dynamic, user-friendly learning environment. Nevertheless, the evaluation process unveiled some usability flaws that offer informative directions for future enhancements. Drawing from our observations, we formulated usability guidelines to guide designers and developers toward crafting more efficient metaverse systems, particularly those intended for educational use. Our results also underline the considerable promise that metaverse technologies hold for advancing higher education globally. © 2023 by the authors.</t>
  </si>
  <si>
    <t>heuristics; human–computer interaction; learning; metaverse; system usability scale; usability; user experience; virtual reality</t>
  </si>
  <si>
    <t>Multidisciplinary Digital Publishing Institute (MDPI)</t>
  </si>
  <si>
    <t>It doesn't mention VR XR, but it's in the metaverse</t>
  </si>
  <si>
    <t xml:space="preserve">InOurScope - AIIS </t>
  </si>
  <si>
    <t>Devices and platform used:
Access via desktop mode or VR headsets (platform: TUAS’s VR Social Platform).
Custom-developed metaverse environment (AIIS) used for immersive 3D interactions​
.</t>
  </si>
  <si>
    <t xml:space="preserve">Tools used:
System Usability Heuristics (Nielsen's 10 Heuristics)
In-Game and Post-Game Experience Questionnaires (GEQ):
Measures immersion, competence, flow, challenge, tension, and emotional affect​
.
Semi-structured interviews and observations​
.
</t>
  </si>
  <si>
    <t>Students:
Felt competent, immersed, and positively challenged.
Reported positive emotions like enjoyment, pride, and satisfaction.
Found the platform generally easy to use despite low XR experience levels​
.
Teachers:
AIIS promotes cross-disciplinary collaboration, blending AI with soft skills in an engaging environment​
.</t>
  </si>
  <si>
    <t xml:space="preserve">GEQ Metrics:
Competence, Flow, Immersion, Tension, Challenge, Positive/Negative Affect.
Heuristic Evaluation Scores:
Visibility, Real-world match, Control, Error Prevention, Flexibility, etc.
Descriptive Statistics (Means, Standard Deviations) from Likert-scale surveys.
Qualitative feedback from interviews​
.
</t>
  </si>
  <si>
    <t xml:space="preserve">Technologies used:
TUAS’s VR Social Platform (metaverse environment).
Unity-based virtual world with avatar interaction, collaborative learning.
Micro-credentialing system, 3D tablet interface, quizzes, AI/soft skills modules​
.
</t>
  </si>
  <si>
    <t>Check.
For RQ1, the article says that users accessed the AIIS virtual environment, which could be via desktop mode or with a VR headset, but does not specify the device used.</t>
  </si>
  <si>
    <t>20 undergraduates + 1 graduate (Thailand/Myanmar), M age 22</t>
  </si>
  <si>
    <t>Computer engineering (AI &amp; society course)</t>
  </si>
  <si>
    <t>Desktop mode or VR headset (not reported per participant)</t>
  </si>
  <si>
    <t>GEQ: immersion 3.5, flow 3.2 (moderate), challenge 3.9, positive affect 3.5–3.7, boredom 2.0 (/5); heuristic usability issues</t>
  </si>
  <si>
    <t>Game Experience Questionnaire (in-game &amp; post-game); Nielsen heuristics; interviews</t>
  </si>
  <si>
    <t>21 students</t>
  </si>
  <si>
    <t>One session, ~1 h (≈30 min tasks)</t>
  </si>
  <si>
    <t>Usability issues; mild tiredness (M ≈ 2)</t>
  </si>
  <si>
    <t>Undergraduates – outside basic education; mixed online/onsite sessions; device mode unclear</t>
  </si>
  <si>
    <t>Mohd Shapri N.S.; Rashid N.L.</t>
  </si>
  <si>
    <t>Mohd Shapri, Nur Saadah (36989912400); Rashid, Nur Liyana (59197996200)</t>
  </si>
  <si>
    <t>36989912400; 59197996200</t>
  </si>
  <si>
    <t>International Journal of Engineering Trends and Technology</t>
  </si>
  <si>
    <t>10.14445/22315381/IJETT-V72I6P101</t>
  </si>
  <si>
    <t>https://www.scopus.com/inward/record.uri?eid=2-s2.0-85197264810&amp;doi=10.14445%2f22315381%2fIJETT-V72I6P101&amp;partnerID=40&amp;md5=8b9475b441da03bc811d1cb815518408</t>
  </si>
  <si>
    <t>Faculty of Informatics and Computing, Universiti Sultan Zainal Abidin Terengganu, Malaysia</t>
  </si>
  <si>
    <t>Mohd Shapri N.S., Faculty of Informatics and Computing, Universiti Sultan Zainal Abidin Terengganu, Malaysia; Rashid N.L., Faculty of Informatics and Computing, Universiti Sultan Zainal Abidin Terengganu, Malaysia</t>
  </si>
  <si>
    <t>- Industrial Revolution 4.0 has changed the direction of innovation, such as Virtual Reality (VR) in the education sector. Nowadays, VR is applied in the education area to enhance students' learning abilities. History education should be integrated with this technology so that students can learn and remember better in history subject. The learning process becomes less interesting, and it is difficult for students to understand and appreciate without appropriate teaching methods. Early exposure to effective learning aids in education is important for increasing student motivation and attracting their interest in the subject of history. In this article, we focus on specific topics, namely the Prehistoric Era, which includes the Neolithic, Paleolithic, and Metal Age. The Prehistoric VR application is built to allow students to gain experience and visualize the prehistorical era in a virtual environment. This application is designed to align with the curriculum outlined in the Form 1 textbook. In addition, the gaze interaction technique is used in this application so that users can control with their eyes. ADDIE method is used to provide a systematic and step-by-step framework to achieve the objectives. Each User Interface (UI) button's functionality and User Usability Testing have been tested using the test case method. This application produced a realistic 3D environment that can visually stimulate VR within a real-world setting. © 2024 Seventh Sense Research Group.</t>
  </si>
  <si>
    <t>History; Prehistoric; Realistic 3D environment; Virtual environment; Virtual reality</t>
  </si>
  <si>
    <t>Seventh Sense Research Group</t>
  </si>
  <si>
    <t xml:space="preserve">Device used:
Android smartphones with VR Box (like Google Cardboard)
.
Type of XR:
Mobile-based Virtual Reality with gaze interaction (eye-based selection)
</t>
  </si>
  <si>
    <t>Usability Questionnaire with 5-point Likert scale (Strongly Disagree → Strongly Agree)
.
Test Cases (button functionality, navigation, audio/video interaction)
.</t>
  </si>
  <si>
    <t>Students:
Reported high satisfaction with interface and suitability for school use
.
Some students struggled with eye-based navigation at first.
Boosted curiosity and content understanding.
Teachers:
Not directly surveyed, but the application was aligned to the official history curriculum.</t>
  </si>
  <si>
    <t>User testing results:
Pass/fail for all interactive components (10+ scenes/buttons).
Survey responses on satisfaction, usability, interaction
.</t>
  </si>
  <si>
    <t>Software/Platform:
Unity 3D + Autodesk Maya for 3D modeling
.
Programming with C#.
Hardware:
Android + VR Box headset (cardboard-style viewer)
.
Special features:
Gaze-based interaction, audio narration, 3D animations, offline use
.</t>
  </si>
  <si>
    <t xml:space="preserve">Nur Saadah
</t>
  </si>
  <si>
    <t>saadahshapri@unisza.edu.my</t>
  </si>
  <si>
    <t>Secondary students, SMK Kuala Besut (form NR)</t>
  </si>
  <si>
    <t>History (prehistoric era), Form 1</t>
  </si>
  <si>
    <t>HMD – mobile (VR Box)</t>
  </si>
  <si>
    <t>All UI test cases passed; items 'works well', 'suitable for school', 'acceptable' mostly agree/strongly agree; no disagreement</t>
  </si>
  <si>
    <t>Author-made 5-item Likert acceptance survey; test cases</t>
  </si>
  <si>
    <t>≈10 students (counts differ per item in figure)</t>
  </si>
  <si>
    <t>Gaze controls hard for some; walkthrough speed limited to avoid motion sickness</t>
  </si>
  <si>
    <t>N not stated; text percentages do not match the bar chart; curiosity/motivation claims not measured</t>
  </si>
  <si>
    <t>Le H.-M.; Nguyen G.-H.; Huynh V.-T.; Le M.-K.; Tran M.-T.; Nguyen T.V.; Tran T.N.-D.</t>
  </si>
  <si>
    <t>Le, Hoang-Minh (58059058300); Nguyen, Gia-Huy (59678456800); Huynh, Viet-Tham (58059146300); Le, Minh-Kha (57491049700); Tran, Minh-Triet (35176729700); Nguyen, Tam V. (24480257100); Tran, Thanh Ngoc-Dat (57934231000)</t>
  </si>
  <si>
    <t>58059058300; 59678456800; 58059146300; 57491049700; 35176729700; 24480257100; 57934231000</t>
  </si>
  <si>
    <t>Proceedings - 2022 IEEE International Symposium on Mixed and Augmented Reality Adjunct, ISMAR-Adjunct 2022</t>
  </si>
  <si>
    <t>10.1109/ISMAR-Adjunct57072.2022.00183</t>
  </si>
  <si>
    <t>https://www.scopus.com/inward/record.uri?eid=2-s2.0-85146048306&amp;doi=10.1109%2fISMAR-Adjunct57072.2022.00183&amp;partnerID=40&amp;md5=7ec942ce89ec8e433d80fad1e19edd33</t>
  </si>
  <si>
    <t>University of Science Vietnam National University, Ho Chi Minh City, Viet Nam; University of Science John von Neumann, Institute Vietnam National University, Ho Chi Minh City, Viet Nam; University of Dayton, Dept. of Computer Science, United States</t>
  </si>
  <si>
    <t>Le H.-M., University of Science Vietnam National University, Ho Chi Minh City, Viet Nam; Nguyen G.-H., University of Science Vietnam National University, Ho Chi Minh City, Viet Nam; Huynh V.-T., University of Science Vietnam National University, Ho Chi Minh City, Viet Nam; Le M.-K., University of Science Vietnam National University, Ho Chi Minh City, Viet Nam; Tran M.-T., University of Science John von Neumann, Institute Vietnam National University, Ho Chi Minh City, Viet Nam; Nguyen T.V., University of Dayton, Dept. of Computer Science, United States; Tran T.N.-D., University of Science Vietnam National University, Ho Chi Minh City, Viet Nam</t>
  </si>
  <si>
    <t>In developing countries, high schoolers rarely have opportunities to conduct chemical experiments due to the lack of facilities. There-fore, chemistry experiment simulation is an alternative environment for students to do the chemistry lab assignments. Despite the need of creating virtual simulations to expand the application usability, it is challenging to synthesize a realistic environment given the limited computing resources. In this paper, we propose Chemisim, a highly realistic web-based VR laboratory simulation for students with high quality and usability. In particular, we make use of the fluid simulation system to mimic real chemical reactions. The imple-mented simulation was based on the chemistry assignments in the national education system, consulted by chemical teachers. Then we deployed the simulator on the web to promote a wide range of students usage. The system was evaluated by collecting and analyzing feedback from chemical teachers based on four criteria, namely, convenience, realism, functionality, and preferences. Our experimental findings address educational challenges and produce innovative technical solutions to solve them in developing countries.  © 2022 IEEE.</t>
  </si>
  <si>
    <t>evaluation; Human-centered computing-Visualization-Visualization design and evaluation methods; Human-centered computing-Visualization-Visualization techniques; Simulation; user experience</t>
  </si>
  <si>
    <t>Students; User interfaces; Virtual reality; Visualization; Websites; Design and evaluation methods; Evaluation; Human-centered computing; Human-centered computing-visualization-visualization design and evaluation method; Human-centered computing-visualization-visualization technique; Simulation; Users' experiences; Visualization designs; Visualization technique; Developing countries</t>
  </si>
  <si>
    <t>ccess via:
Web-based VR (WebGL) using a browser on PC/tablet.
Optional immersive VR through Google Cardboard mode on mobile devices​
.</t>
  </si>
  <si>
    <t>User study with 24 participants (chemistry students and professors).
Evaluation criteria:
Functionality
Realism
Convenience
User Preference​
.</t>
  </si>
  <si>
    <t xml:space="preserve">Students:
Preferred the Full Version (interactive) for its realistic reactions and lab manipulation.
Rated all aspects 4+/5 across all evaluation dimensions.
Teachers:
Confirmed the system’s educational validity and appreciated its potential to supplement real labs​
.
</t>
  </si>
  <si>
    <t xml:space="preserve">4 key metrics (rated 1–5):
Functionality
Realism
Convenience
Preference
Used descriptive statistics to analyze feedback (mean ratings per simulator version)​
.
</t>
  </si>
  <si>
    <t xml:space="preserve">Built in Unity3D and WebGL.
Implements:
Fluid simulation shaders
Data-driven state machines for lesson flow
3D lab models based on real school labs
Responsive UI embedded in VR
Supports browser deployment and mobile VR (Cardboard)​
.
</t>
  </si>
  <si>
    <t xml:space="preserve">Chemistry </t>
  </si>
  <si>
    <t>University chemistry students &amp; professors (M age 22.8)</t>
  </si>
  <si>
    <t>Chemistry lab experiments</t>
  </si>
  <si>
    <t>Web/browser VR (optional Cardboard)</t>
  </si>
  <si>
    <t>Full version rated ≈4/5 on functionality, realism, convenience and preference (vs basic/lite ≈3.4–3.9)</t>
  </si>
  <si>
    <t>Author-made 4-criterion 1–5 rating</t>
  </si>
  <si>
    <t>24 participants</t>
  </si>
  <si>
    <t>One 30-min session (3 × 10-min versions)</t>
  </si>
  <si>
    <t>Slow initial loading; possible dizziness on low-end devices (discussed)</t>
  </si>
  <si>
    <t>Outside basic education: University students and professors</t>
  </si>
  <si>
    <t>Participants are university students/professors, not high-school learners as intended</t>
  </si>
  <si>
    <t>Munoz-Bautista H.; Cardona-Reyes H.; Ortiz-Esparza M.A.; Guzman-Mendoza J.E.; Villalba-Condori K.O.; Mamani-Calcina J.G.</t>
  </si>
  <si>
    <t>Munoz-Bautista, Humberto (57192586560); Cardona-Reyes, Hector (57188961346); Ortiz-Esparza, Miguel Angel (57193536594); Guzman-Mendoza, Jose Eder (56671095500); Villalba-Condori, Klinge Orlando (57200248801); Mamani-Calcina, Jorge Gilbert (57929582000)</t>
  </si>
  <si>
    <t>57192586560; 57188961346; 57193536594; 56671095500; 57200248801; 57929582000</t>
  </si>
  <si>
    <t>CONTIE 2022 - 5th International Conference on Inclusive Technologies and Education and the 2nd International Conference of the Project Promoting Accessibility of Students with Disability to Higher Education in Cuba, Costa Rica and Dominican Republic</t>
  </si>
  <si>
    <t>10.1109/CONTIE56301.2022.10004411</t>
  </si>
  <si>
    <t>https://www.scopus.com/inward/record.uri?eid=2-s2.0-85146719989&amp;doi=10.1109%2fCONTIE56301.2022.10004411&amp;partnerID=40&amp;md5=0a8fac0b007bac541ef50d279a414cd9</t>
  </si>
  <si>
    <t>Universidad Autónoma de Aguascalientes, Depto. de Sistemas de Información, Aguascalientes, 20131, Mexico; CONACYT-CIMAT, Zacatecas, 98160, Mexico; Center for Research in Mathematics, Zacatecas, 98160, Mexico; Universidad Continental, Arequipa, Peru; Universidad Tecnológica Del Peru, Arequipa, Peru</t>
  </si>
  <si>
    <t>Munoz-Bautista H., Universidad Autónoma de Aguascalientes, Depto. de Sistemas de Información, Aguascalientes, 20131, Mexico; Cardona-Reyes H., CONACYT-CIMAT, Zacatecas, 98160, Mexico; Ortiz-Esparza M.A., Center for Research in Mathematics, Zacatecas, 98160, Mexico; Guzman-Mendoza J.E., Universidad Autónoma de Aguascalientes, Depto. de Sistemas de Información, Aguascalientes, 20131, Mexico; Villalba-Condori K.O., Universidad Continental, Arequipa, Peru; Mamani-Calcina J.G., Universidad Tecnológica Del Peru, Arequipa, Peru</t>
  </si>
  <si>
    <t>This work addresses the incorporation of virtual environments as a support to the needs of elementary school students with ADHD. The incorporation of these environments under a multidisciplinary approach can help to strengthen children's skills in a playful and motivating way allowing specialists to work on specific areas of ADHD. For this purpose, a model based on the algorithm for the identification and diagnosis of ADHD is presented from the computational point of view to obtain the design requirements of the proposed virtual environments. A pilot study involving 5 children identified with ADHD and learning disabilities is presented. It was a multidisciplinary team composed of a special education teacher who supports children with learning disabilities and ADHD and the group's teacher in an elementary education institution. Four key ADHD skills (Instruction, Directionality, Memory and Attention) were identified and assessed through the use of the Maze3D virtual environment in which the user used the LeapMotion controller. The results obtained from the evaluation of skills showed an increase in the directionality and memory skills while the instruction and attention skills presented similar or lower values than the pre-test. We also conducted a user experience evaluation which indicated that users were most satisfied with the use of the application.  © 2022 IEEE.</t>
  </si>
  <si>
    <t>ADHD; elementary school; multidisciplinary model; virtual environments</t>
  </si>
  <si>
    <t>Education computing; Virtual addresses; ADHD; Elementary schools; Learning disabilities; Model-based OPC; Multi-disciplinary approach; Multi-disciplinary modeling; Multidisciplinary teams; Pilot studies; School students; Specific areas; Virtual reality</t>
  </si>
  <si>
    <t>Devices used:
LeapMotion controller with PC display.
Maze3D app (VR-like but not immersive HMD).
This setup enables natural interaction via hand gestures, which is beneficial for ADHD students​
.</t>
  </si>
  <si>
    <t xml:space="preserve">Pre- and Post-Test Questionnaires: measuring ADHD-related skills (Instruction, Directionality, Memory, Attention).
User Experience Questionnaire: gauging satisfaction, ease of use, learning, etc.
Cronbach’s Alpha used to test reliability of instruments​
.
</t>
  </si>
  <si>
    <t xml:space="preserve">Students:
Reported high satisfaction: liked hand-movement controls and would replay the activity.
Demonstrated skill improvements in directionality (+8%) and memory (+19%), but some decline in instruction (-48%) and attention (-51%), due to focus on screen rather than teacher cues​
.
Teachers:
Supported use of the tool and identified it as a valuable diagnostic and support aid.
</t>
  </si>
  <si>
    <t xml:space="preserve">Skill Performance (Pre/Post):
Four skill categories: Instruction, Directionality, Memory, Attention.
User Experience Metrics:
Enjoyment, Clarity of Instructions, Willingness to reuse.
Data analyzed via:
Percent improvement
Means and Variance
Reliability (Cronbach's alpha)​
</t>
  </si>
  <si>
    <t xml:space="preserve">Technologies used:
Maze3D Game, built on Astray (WebGL Maze) base.
Controlled via LeapMotion sensor for gestural interaction.
Developed with support from a multidisciplinary team: teachers, technologists, psychologists​
.
</t>
  </si>
  <si>
    <t>Children with ADHD and learning disabilities (elementary school)</t>
  </si>
  <si>
    <t>Cognitive skills (instruction, directionality, memory, attention)</t>
  </si>
  <si>
    <t>Desktop + Leap Motion (non-immersive)</t>
  </si>
  <si>
    <t>4/5 children liked it and would play again (7-point, one child disagreed); directionality +8%, memory +19%, instruction −48%, attention −51% (teacher-rated)</t>
  </si>
  <si>
    <t>Author-made pre/post skill questionnaire (post α = .68) and 7-item UX questionnaire (α = .79)</t>
  </si>
  <si>
    <t>Single-group pre–post</t>
  </si>
  <si>
    <t>5 children</t>
  </si>
  <si>
    <t>Session(s) with Maze3D (duration NR)</t>
  </si>
  <si>
    <t>Attention to teacher instructions dropped after use</t>
  </si>
  <si>
    <t>Non-immersive desktop + Leap Motion – borderline XR; post-test reliability below acceptable</t>
  </si>
  <si>
    <t>Nuguri S.S.; Calyam P.; Oruche R.; Gulhane A.; Valluripally S.; Stichter J.; He Z.</t>
  </si>
  <si>
    <t>Nuguri, Sai Shreya (57197736605); Calyam, Prasad (6507285722); Oruche, Roland (57207993528); Gulhane, Aniket (57207990715); Valluripally, Samaikya (57193485929); Stichter, Janine (6602918053); He, Zhihai (7403885484)</t>
  </si>
  <si>
    <t>57197736605; 6507285722; 57207993528; 57207990715; 57193485929; 6602918053; 7403885484</t>
  </si>
  <si>
    <t>10.1007/s11042-020-09051-w</t>
  </si>
  <si>
    <t>https://www.scopus.com/inward/record.uri?eid=2-s2.0-85085874226&amp;doi=10.1007%2fs11042-020-09051-w&amp;partnerID=40&amp;md5=1dd676b2769f35d92da28167c6e0768d</t>
  </si>
  <si>
    <t>University of Missouri, Columbia, MO, United States</t>
  </si>
  <si>
    <t>Nuguri S.S., University of Missouri, Columbia, MO, United States; Calyam P., University of Missouri, Columbia, MO, United States; Oruche R., University of Missouri, Columbia, MO, United States; Gulhane A., University of Missouri, Columbia, MO, United States; Valluripally S., University of Missouri, Columbia, MO, United States; Stichter J., University of Missouri, Columbia, MO, United States; He Z., University of Missouri, Columbia, MO, United States</t>
  </si>
  <si>
    <t>Virtual Learning Environments (VLEs) are spaces designed to educate student groups remotely via online platforms. Although traditional VLEs have shown promise in educating students, they offer limited immersion that overall diminishes learning effectiveness. In this paper, we describe vSocial, a cloud-based virtual reality learning environment (VRLE) system that can be deployed over high-speed networks using the High Fidelity “social VR” platform. vSocial provides flexible control of group learning content and compliance with established VLE standards with improved immersive user experience for both instructor(s) and students. For our vSocial development, we build upon the use case of an existing special education VLE viz., iSocial that trains youth with Autism Spectrum Disorder by implementing the Social Competence Intervention (SCI) curriculum. The vSocial can be used to: (a) implement multiple learning modules using wearable VR technologies, (b) integrate cognitive state sensing devices, and (c) organize learning session data securely using web applications hosted on cloud resources. Our experiment results show that the VR mode of content delivery in vSocial better stimulates the generalization of lessons to the real world than non-VR lessons, and provides improved immersion when compared to an equivalent desktop version. Further, usability study results show that users can successfully use the web application features in vSocial for group learning activities with ease-of-use and consistency. © 2020, Springer Science+Business Media, LLC, part of Springer Nature.</t>
  </si>
  <si>
    <t>Intelligent network services; Learning environments; Social virtual reality; Special education; Web applications</t>
  </si>
  <si>
    <t>Compliance control; Computer aided instruction; HIgh speed networks; Learning systems; Regulatory compliance; Students; User experience; Virtual reality; Wearable technology; Autism spectrum disorders; Learning effectiveness; Learning sessions; Social competences; Special education; Usability studies; Virtual learning environments (VLEs); Virtual reality learning environments; E-learning</t>
  </si>
  <si>
    <t xml:space="preserve">Devices and platforms:
HTC Vive and Oculus Rift VR headsets​
.
Cloud-hosted VR using the High Fidelity platform.
Additional Muse EEG headbands for emotion tracking​
.
</t>
  </si>
  <si>
    <t xml:space="preserve">Tools used:
Engagement and Enjoyment surveys after VR sessions​
.
System Usability Scale (SUS) for vSocial Portal usability​
.
Cognitive state tracking using EEG headbands (Muse/Emotiv Insight) measuring engagement, focus, stress​
.
Benchmark network performance evaluation​
.
</t>
  </si>
  <si>
    <t xml:space="preserve">Students:
Greater presence and enjoyment in VR sessions compared to desktop​
.
Found VR easier to use for social skill practice than keyboard/mouse​
.
Teachers:
Found it easier to manage group sessions and track student emotional states in real-time​
.
</t>
  </si>
  <si>
    <t xml:space="preserve">Metrics:
Engagement and Enjoyment ratings (VR vs. Desktop).
SUS score: 75 (above average usability) for the vSocial Portal​
.
EEG-based cognitive metrics: focus, stress, excitement, relaxation​
.
Network performance metrics: download/upload speed thresholds for VR usability​
.
</t>
  </si>
  <si>
    <t xml:space="preserve">Technologies used:
High Fidelity Social VR platform​
.
Unity3D content development.
Cloud servers (GENI infrastructure and Google Cloud).
Web applications integrated with VR (Slides, Portals)​
.
EEG headsets: Muse, Emotiv​
.
Docker containers for scalable deployment​
.
</t>
  </si>
  <si>
    <t>7 college-age students (VR vs desktop test) + 3 youth with ASD aged 11–14 (usability)</t>
  </si>
  <si>
    <t>Social competence</t>
  </si>
  <si>
    <t>All 7 felt present in VR vs &lt; half on desktop; all enjoyed VR more and preferred it; ASD youth 'enjoyed the VR', 'liked the games'; portal SUS = 75 (instructors)</t>
  </si>
  <si>
    <t>Author-made post-session survey (engagement, enjoyment); SUS for portal; EEG</t>
  </si>
  <si>
    <t>7 college students; 3 youth with ASD; 5 instructors</t>
  </si>
  <si>
    <t>Single sessions; headset limited to ≤ 20 min</t>
  </si>
  <si>
    <t>About one-third felt dizzy (thumb-pad locomotion); headset uncomfortable for ASD youth, esp. with EEG band</t>
  </si>
  <si>
    <t>Comparative VR-vs-desktop data come from college students; ASD learner data are qualitative only</t>
  </si>
  <si>
    <t>Martono K.T.; Eridani D.; Isabella D.I.S.; Alfian H.</t>
  </si>
  <si>
    <t>Martono, K.T. (57189355053); Eridani, D. (56596784100); Isabella, D.I.S. (57222901489); Alfian, H. (57222899551)</t>
  </si>
  <si>
    <t>57189355053; 56596784100; 57222901489; 57222899551</t>
  </si>
  <si>
    <t>IOP Conference Series: Earth and Environmental Science</t>
  </si>
  <si>
    <t>10.1088/1755-1315/704/1/012019</t>
  </si>
  <si>
    <t>https://www.scopus.com/inward/record.uri?eid=2-s2.0-85104195037&amp;doi=10.1088%2f1755-1315%2f704%2f1%2f012019&amp;partnerID=40&amp;md5=0efa30b1724cd50f3375e988bf114e29</t>
  </si>
  <si>
    <t>Computer Engineering Department, Diponegoro University, Semarang, Indonesia; Center for Biomechanics, Biomaterial, Biomechatronic and Biosignal Processing, Diponegoro University, Semarang, Indonesia</t>
  </si>
  <si>
    <t>Martono K.T., Computer Engineering Department, Diponegoro University, Semarang, Indonesia, Center for Biomechanics, Biomaterial, Biomechatronic and Biosignal Processing, Diponegoro University, Semarang, Indonesia; Eridani D., Computer Engineering Department, Diponegoro University, Semarang, Indonesia; Isabella D.I.S., Computer Engineering Department, Diponegoro University, Semarang, Indonesia; Alfian H., Computer Engineering Department, Diponegoro University, Semarang, Indonesia</t>
  </si>
  <si>
    <t>An early introduction to children's basic activities, including brushing teeth, washing hands, and eating a meal using a spoon, is deemed important. Many methods can be used to introduce these activities, one of which is by using video. The development of Virtual Reality technology provides a new experience in interacting and using computer-based applications. Users can feel the sensation of being in the real world when using the application. This paper discusses designing a recognition system for children's basic activities through VR technology. The method in the design process used the HCD (Human Center Design) method. System testing was emphasized on the user experience (UX) aspect of the application with the teachers at the early childhood education and kindergarten level as the target respondents. UX testing was conducted by taking the parameters of Attractiveness, Perspicuity, Efficiency, Dependability, Stimulation, and Novelty. The results obtained showed 1.41 points for attractiveness, 1.80 points for perspicuity, 1.28 points for efficiency, 1.80 points for Dependability, 1.49 points for stimulation, and 1.39 points for novelty. So that this application can be used as a medium in introducing basic activities to children. © 2021 Institute of Physics Publishing. All rights reserved.</t>
  </si>
  <si>
    <t>Efficiency; Environmental technology; Gas engineering; Geology; Sustainable development; User experience; Virtual reality; Computer-based applications; Design process; Early childhood educations; Recognition systems; System testing; User experiences (ux); Virtual reality technology; VR technology; Design</t>
  </si>
  <si>
    <t>IOP Publishing Ltd</t>
  </si>
  <si>
    <t xml:space="preserve">Devices used:
Android smartphone with a VR headset (mobile VR)​
.
PC used to monitor and control VR sessions​
.
</t>
  </si>
  <si>
    <t xml:space="preserve">User Experience Questionnaire (UEQ) assessing:
Attractiveness
Perspicuity
Efficiency
Dependability
Stimulation
Novelty​
.
Post-use interviews with 20 early childhood education teachers​
.
</t>
  </si>
  <si>
    <t xml:space="preserve">Teachers:
Found the system helpful, engaging, and easy to use.
Reported that it positively influenced children's mood and reduced anxiety through instrumental background music​
.
Students:
Although direct feedback from children was not collected, it was inferred via teacher observations that students were highly engaged and calmed by the experience​
.
</t>
  </si>
  <si>
    <t xml:space="preserve">UEQ Scores (mean values):
Attractiveness: 1.41
Perspicuity: 1.80
Efficiency: 1.28
Dependability: 1.80
Stimulation: 1.49
Novelty: 1.39​
.
Benchmarked using UEQ data analysis tools (classified as "Good" to "Excellent" usability scores).
</t>
  </si>
  <si>
    <t xml:space="preserve">Technologies used:
Unity3D for VR application development​
.
Android smartphones for app deployment.
Basic VR headsets (for mobile phone insertion).
Background music integration to calm children​
.
Simple 3D environments (home settings: bathroom, kitchen)​
.
</t>
  </si>
  <si>
    <t>Early Childhood Education</t>
  </si>
  <si>
    <t xml:space="preserve">Check. Could Not check if Unity3D was used for develpment  </t>
  </si>
  <si>
    <t>Teachers only (20 early-childhood/kindergarten teachers); children not tested</t>
  </si>
  <si>
    <t>Daily-living skills (hygiene, eating)</t>
  </si>
  <si>
    <t>HMD – mobile</t>
  </si>
  <si>
    <t>Teacher-rated UEQ: attractiveness 1.41, perspicuity 1.80, efficiency 1.28, dependability 1.80, stimulation 1.49, novelty 1.39</t>
  </si>
  <si>
    <t>UEQ; teacher interviews</t>
  </si>
  <si>
    <t>20 teachers (0 learners)</t>
  </si>
  <si>
    <t>Single trial by teachers</t>
  </si>
  <si>
    <t>E4: Evaluated by teachers only; learners not assessed</t>
  </si>
  <si>
    <t>No learner data – teacher evaluation only</t>
  </si>
  <si>
    <t>Pittman C.; Laviola J.J.</t>
  </si>
  <si>
    <t>Pittman, Corey (56103896200); Laviola, Joseph J. (6602792780)</t>
  </si>
  <si>
    <t>56103896200; 6602792780</t>
  </si>
  <si>
    <t>10.1109/VR.2019.8797908</t>
  </si>
  <si>
    <t>https://www.scopus.com/inward/record.uri?eid=2-s2.0-85071833059&amp;doi=10.1109%2fVR.2019.8797908&amp;partnerID=40&amp;md5=3af7e9237710382d398242282569c3a3</t>
  </si>
  <si>
    <t>University of Central Florida, Orlando, FL, United States</t>
  </si>
  <si>
    <t>Pittman C., University of Central Florida, Orlando, FL, United States; Laviola J.J., University of Central Florida, Orlando, FL, United States</t>
  </si>
  <si>
    <t>While we are in the midst of a renaissance of interest in augmented reality (AR), there remain a small number of application domains which have seen significant development. Education is a domain that often drives innovation with emerging technologies. One particular subject which benefits from additional visualization capabilities is physics. In this paper, we present the results of a series of interviews with secondary school teachers about their experience with AR and the features which would be most beneficial to them from a pedagogical perspective. To gather meaningful information, a prototype application was developed and presented to the teachers. Based on the feedback collected from the teachers, we present a set of design recommendations for AR physics education tools, as well as other useful collects comments. © 2019 IEEE.</t>
  </si>
  <si>
    <t>Augmented reality; Physics education; Qualitative interview</t>
  </si>
  <si>
    <t>Augmented reality; Software prototyping; Virtual reality; Design recommendations; Emerging technologies; Physics education; Qualitative interviews; Secondary schools; User interfaces</t>
  </si>
  <si>
    <t xml:space="preserve">Devices used:
Microsoft Hololens (head-mounted AR display)​
.
Future recommendations include use with other head-worn AR devices like Magic Leap​
</t>
  </si>
  <si>
    <t>Methods used:
Semi-structured interviews with six physics teachers (secondary and post-secondary level)​
.
Thematic qualitative analysis of interview transcripts to identify major themes​
.</t>
  </si>
  <si>
    <t xml:space="preserve">Teachers:
Valued visual augmentation of concepts (adding force vectors, fields).
Liked the ability to visualize invisible phenomena like magnetic fields in 3D​
.
Wanted collaborative options (sharing scenes among students).
Students (potential users based on teacher feedback):
Expected to benefit most when using AR for visual/spatial concepts difficult to grasp via text or 2D images.
</t>
  </si>
  <si>
    <t xml:space="preserve">Metrics:
Emergent thematic analysis categories:
Novelty
Reinforcement
Exploration
Variable Presentation
Collaboration​
.
No formal numerical/statistical testing done — purely qualitative.
</t>
  </si>
  <si>
    <t xml:space="preserve">Technologies used:
HoloPhysics AR app​
:
Illustrates physics concepts like:
Coulomb’s Law (electric fields)
Elastic collisions
Parallel circuits
Developed for Microsoft Hololens.
Unity 3D for content development​
.
</t>
  </si>
  <si>
    <t>Physics</t>
  </si>
  <si>
    <t>Teachers only (6 secondary/post-secondary physics teachers)</t>
  </si>
  <si>
    <t>Physics (forces, fields)</t>
  </si>
  <si>
    <t>HMD – AR (HoloLens)</t>
  </si>
  <si>
    <t>Design requirements from teacher interviews</t>
  </si>
  <si>
    <t>Semi-structured interviews</t>
  </si>
  <si>
    <t>Qualitative interview study</t>
  </si>
  <si>
    <t>6 teachers (0 learners)</t>
  </si>
  <si>
    <t>Prototype demonstration</t>
  </si>
  <si>
    <t>E4: Evaluated by teachers only (interviews); learners not assessed</t>
  </si>
  <si>
    <t>No learner data – teacher interviews only</t>
  </si>
  <si>
    <t>Mendoza R.; Cabarcas A.; Fabregat R.; Baldiris S.</t>
  </si>
  <si>
    <t>Mendoza, Raynel (56644265000); Cabarcas, Amaury (6504549656); Fabregat, Ramon (6602491428); Baldiris, Silvia (26422022500)</t>
  </si>
  <si>
    <t>56644265000; 6504549656; 6602491428; 26422022500</t>
  </si>
  <si>
    <t>Proceedings - 2019 International Conference on Virtual Reality and Visualization, ICVRV 2019</t>
  </si>
  <si>
    <t>10.1109/ICVRV47840.2019.00036</t>
  </si>
  <si>
    <t>https://www.scopus.com/inward/record.uri?eid=2-s2.0-85094319640&amp;doi=10.1109%2fICVRV47840.2019.00036&amp;partnerID=40&amp;md5=c600b78a45de1bba22f7963ed3504af8</t>
  </si>
  <si>
    <t>Universitat de Girona, Spain; Universidad de Cartagena, Colombia; Universidad Internacional de la Rioja, Spain</t>
  </si>
  <si>
    <t>Mendoza R., Universitat de Girona, Spain; Cabarcas A., Universidad de Cartagena, Colombia; Fabregat R., Universitat de Girona, Spain; Baldiris S., Universidad Internacional de la Rioja, Spain</t>
  </si>
  <si>
    <t>Heritage education is a process that traditionally has been implemented in a similar way to how schools work, a teacher transmits certain knowledge to a student. Nevertheless, lately, there have been new experiences that integrate Augmented Reality into the processes of heritage education. This paper describes an experience of an Augmented Reality application called 'Social Heritage' that supports heritage education processes, and is based on a framework called 'Framework to Heritage Education supported in Augmented Reality'. This work presents the results of the application of the framework in the city of Cartagena - Colombia, where positive results were obtained with citizens and visitors. These Results are related to positive experiences and motivation when users use Augmented Reality technologies to develop heritage education processes.  © 2019 IEEE.</t>
  </si>
  <si>
    <t>Augmented Reality; Framework for Heritage Education; Heritage Education</t>
  </si>
  <si>
    <t>User experience; Virtual reality; Visualization; Augmented reality applications; Augmented reality technology; Colombia; Heritage education; Positive experiences; Augmented reality</t>
  </si>
  <si>
    <t xml:space="preserve">Devices and platforms:
Mobile-based Augmented Reality app (Social Heritage)​
.
Android smartphones and tablets were used to deploy the AR experience​
.
</t>
  </si>
  <si>
    <t>Assessment Methods:
Motivation questionnaires based on the ARTS model (Attention, Relevance, Trust, Satisfaction)​
.
Observations during the user interaction phase​
.</t>
  </si>
  <si>
    <t xml:space="preserve">Users (citizens/visitors):
Showed high motivation, positive attitudes, and satisfaction​
.
Enjoyed AR-enhanced tours more than passive learning methods​
.
</t>
  </si>
  <si>
    <t xml:space="preserve">Metrics:
Average scores (1–5 scale) for each ARTS dimension:
Confidence
Satisfaction
Attention
Relevance​
.
Observational notes on user curiosity, enjoyment, and recommendation willingness​
.
</t>
  </si>
  <si>
    <t xml:space="preserve">Technologies used:
Social Heritage AR app developed with:
Java programming​
.
Android SDK for mobile development​
.
Metaio SDK for Augmented Reality content​
.
Google Play Services for geographic mapping​
.
</t>
  </si>
  <si>
    <t>Cultural Education</t>
  </si>
  <si>
    <t>Citizens and visitors, Cartagena (M age 34; 67 F, 76 M)</t>
  </si>
  <si>
    <t>Heritage education</t>
  </si>
  <si>
    <t>8 ARCS-based items (confidence, satisfaction, attention, relevance) rated positively; authors conclude users were motivated</t>
  </si>
  <si>
    <t>8 items selected by experts from an ARCS motivation instrument</t>
  </si>
  <si>
    <t>143 adults</t>
  </si>
  <si>
    <t>Heritage route with AR app (duration NR)</t>
  </si>
  <si>
    <t>Outside basic education: Adult general public (mean age 34)</t>
  </si>
  <si>
    <t>Adult general public – outside basic education</t>
  </si>
  <si>
    <t>Isa W.M.W.; Rozaimee A.; Satar S.D.M.; Hamid N.A.; Rahim N.; Hashim J.; Abdullah W.I.W.</t>
  </si>
  <si>
    <t>Isa, Wan Malini Wan (57215528232); Rozaimee, Azilawati (36701930700); Satar, Siti Dhalila Mohd (56997438200); Hamid, Nazirah Abd (55047020800); Rahim, Normala (54393947000); Hashim, Jamaluddin (55088930700); Abdullah, Wan Ismail Wan (55089330400)</t>
  </si>
  <si>
    <t>57215528232; 36701930700; 56997438200; 55047020800; 54393947000; 55088930700; 55089330400</t>
  </si>
  <si>
    <t>Advanced Science Letters</t>
  </si>
  <si>
    <t>10.1166/asl.2017.8299</t>
  </si>
  <si>
    <t>https://www.scopus.com/inward/record.uri?eid=2-s2.0-85023771153&amp;doi=10.1166%2fasl.2017.8299&amp;partnerID=40&amp;md5=f67b67f5aad0dcbb01c9ee4d3ae77b29</t>
  </si>
  <si>
    <t>Faculty of Informatics and Computing, Universiti Sultan Zainal Abidin, Tembila Campus, Terengganu, Malaysia; Faculty of Islamic Contemporary Studies, Universiti Sultan Zainal Abidin, Gong Badak Campus, Terengganu, Malaysia</t>
  </si>
  <si>
    <t>Isa W.M.W., Faculty of Informatics and Computing, Universiti Sultan Zainal Abidin, Tembila Campus, Terengganu, Malaysia; Rozaimee A., Faculty of Informatics and Computing, Universiti Sultan Zainal Abidin, Tembila Campus, Terengganu, Malaysia; Satar S.D.M., Faculty of Informatics and Computing, Universiti Sultan Zainal Abidin, Tembila Campus, Terengganu, Malaysia; Hamid N.A., Faculty of Informatics and Computing, Universiti Sultan Zainal Abidin, Tembila Campus, Terengganu, Malaysia; Rahim N., Faculty of Informatics and Computing, Universiti Sultan Zainal Abidin, Tembila Campus, Terengganu, Malaysia; Hashim J., Faculty of Islamic Contemporary Studies, Universiti Sultan Zainal Abidin, Gong Badak Campus, Terengganu, Malaysia; Abdullah W.I.W., Faculty of Islamic Contemporary Studies, Universiti Sultan Zainal Abidin, Gong Badak Campus, Terengganu, Malaysia</t>
  </si>
  <si>
    <t>Islamic education is crucial and deemed important for Muslims, especially among the younger age groups. This is to ensure that the Muslims are equipped with the rightful Islamic knowledge and principles in whatever endeavor they undertake. Virtual Umrah application was developed as an alternative tool to improve the teaching and learning process among secondary school students on matters regarding to a specific Islamic subject, the performing of Umrah. This application was incorporated with virtual reality technique because of the need to provide realistic experience in performing rituals of Umrah. It is therefore of utmost important that the evaluation need to be carried-out in ensuring the usability of the application. Hence, this study aims at evaluating the usability of Virtual Umrah interface by adopting to the approach of using questionnaire for user interface satisfaction (QUIS). The criteria are measured by satisfaction, error, memorability and efficiency, with the obtained mean score value between 6.73 and 8.05 for each criteria. The results achieved from the evaluation indicated that the secondary school students were satisfied with the user interface of Virtual Umrah application. © 2017 American Scientific Publishers All rights reserved.</t>
  </si>
  <si>
    <t>Umrah application; Usability evaluation; User satisfaction evaluation; Virtual reality</t>
  </si>
  <si>
    <t>American Scientific Publishers</t>
  </si>
  <si>
    <t xml:space="preserve">Device used:
Not explicitly mentioned, but it was demonstrated using a laptop and projector (likely non-immersive or low-cost VR simulation)
.
Type of XR:
Virtual Reality, using 360° photography and a virtual walkthrough of Umrah rituals
</t>
  </si>
  <si>
    <t>QUIS (Questionnaire for User Interface Satisfaction) — version 7.0
.
Evaluated Satisfaction, Memorability, Errors, and Efficiency using a 10-point scale.</t>
  </si>
  <si>
    <t xml:space="preserve">Students:
Rated satisfaction and interface usability highly, with mean scores between 7.38 and 8.05
.
Reported that terminology was clear, information was memorable, and navigation was easy.
Teachers:
Participated in the demonstration; teacher feedback not quantitatively reported.
</t>
  </si>
  <si>
    <t>QUIS metrics:
Mean scores:
Satisfaction: 7.63
Memorability: 7.89
Error handling: 8.00
Efficiency: 6.73–8.05</t>
  </si>
  <si>
    <t>Software/Platform:
VR system with 360° photography and virtual simulation of Umrah
.
Developed under user-centered design principles.
Hardware:
Delivered via laptop and projector for demonstration; not optimized for immersive HMDs</t>
  </si>
  <si>
    <t>Islamic Education</t>
  </si>
  <si>
    <t>Form 4 students (SPM candidates), one science school</t>
  </si>
  <si>
    <t>Islamic education (Umrah rituals)</t>
  </si>
  <si>
    <t>Laptop + projector demonstration of 360° VR (students did not operate it)</t>
  </si>
  <si>
    <t>QUIS satisfaction 7.57–7.63, errors 7.77–8.00, efficiency 6.73–8.05 (/10)</t>
  </si>
  <si>
    <t>QUIS 7.0 (10-point)</t>
  </si>
  <si>
    <t>55 students (22 M, 33 F)</t>
  </si>
  <si>
    <t>Researcher demonstration + 20-min questionnaire</t>
  </si>
  <si>
    <t>Students watched a demonstration rather than using the application themselves</t>
  </si>
  <si>
    <t>Isabwe G.M.N.; Moxnes M.S.; Ristesund M.</t>
  </si>
  <si>
    <t>Isabwe, Ghislain Maurice Norbert (27867611400); Moxnes, Margrethe Synnøve (57194787396); Ristesund, Marie (57194789101)</t>
  </si>
  <si>
    <t>27867611400; 57194787396; 57194789101</t>
  </si>
  <si>
    <t>10.1007/978-3-319-58637-3_38</t>
  </si>
  <si>
    <t>https://www.scopus.com/inward/record.uri?eid=2-s2.0-85025125447&amp;doi=10.1007%2f978-3-319-58637-3_38&amp;partnerID=40&amp;md5=2c29192cdec5ffa0662fc47a1437f4a2</t>
  </si>
  <si>
    <t>University of Agder, Grimstad, Norway</t>
  </si>
  <si>
    <t>Isabwe G.M.N., University of Agder, Grimstad, Norway; Moxnes M.S., University of Agder, Grimstad, Norway; Ristesund M., University of Agder, Grimstad, Norway</t>
  </si>
  <si>
    <t>Science education requires experimental work for learners to achieve the intended learning outcomes, which sometimes involve abstract concepts by nature. Advances in digital technology can help learners to undertake experimental work, which would otherwise be costly, either due to the scarcity of laboratory equipment or safety requirements. However, one of the major concerns resides into how to design usable learning solutions from the users’ perspective. That would require the involvement of users at all stages of design and development process, even if the technology itself could still be in its infancy. It can be very helpful to present the new design concepts to potential users at a very early stage, with rough models or low fidelity prototypes just to communicate the solution ideas. Such a prototype helps to better understand users’ needs and requirements as well as to test and evaluate perceived usability as well the user experience at early stages of the human-centred design process. This work presents a cost-effective approach to low fidelity prototyping for virtual reality based solutions. Virtual reality is modelled through physical objects to allow sample users feel and experience the learning of chemistry concepts through active experimentation. The prototype is made out of everyday components to create an experience of virtual reality in a real physical world. That included paper, prints, boxes, bottles and a book to represent a chemical bonding experiment in an outdoor scenario. User testing proved this prototyping technique to be very practical as well as cost effective. © Springer International Publishing AG 2017.</t>
  </si>
  <si>
    <t>Human-centred design; Low fidelity prototype; Virtual reality</t>
  </si>
  <si>
    <t>Chemical bonds; Cost effectiveness; E-learning; Education; Human computer interaction; Laboratories; Active experimentation; Cost-effective approach; Design and development process; Human centred design; Intended learning outcomes; Laboratory equipments; Low fidelities; Low-fidelity prototyping; Virtual reality</t>
  </si>
  <si>
    <t xml:space="preserve">Prototyping simulation:
Helmet + Goggles + GoPro (mock HMD)​
.
Final intended devices: VR headsets (like Google Cardboard, Oculus, HTC Vive were discussed)​
.
</t>
  </si>
  <si>
    <t xml:space="preserve">Observation: during low-fidelity prototype testing.
Semi-structured interviews: with students and teachers​
.
Questionnaires: Likert scale surveys evaluating usability and understanding​
.
</t>
  </si>
  <si>
    <t xml:space="preserve">Students:
Reported increased motivation, immersive engagement, and better conceptual understanding.
Benefited from multisensory interactions (physical objects, mobility)​
.
Teachers:
Approved tasks and experiments; highlighted VR's potential to simulate dangerous experiments safely​
.
</t>
  </si>
  <si>
    <t xml:space="preserve">Metrics:
Task Completion (success with guidance).
Engagement/Immersion observations.
Satisfaction feedback from teachers and students.
Mostly qualitative and descriptive evaluation, no formal statistical tests​
.
</t>
  </si>
  <si>
    <t xml:space="preserve">Prototyping technologies:
Physical props (paper tents, soda bottles, printed molecule diagrams).
Helmet and camera to simulate HMD VR​
.
Final development intention:
Unity3D based VR application for full chemistry simulation​
.
</t>
  </si>
  <si>
    <t>2 schoolboys (13–16) + 3 science teachers</t>
  </si>
  <si>
    <t>Chemistry (chemical bonding)</t>
  </si>
  <si>
    <t>Physical mock-up (no real XR device)</t>
  </si>
  <si>
    <t>Task completion and usability problems observed with the paper/prop prototype</t>
  </si>
  <si>
    <t>Observation; interviews; Likert questionnaire</t>
  </si>
  <si>
    <t>Low-fidelity prototype evaluation</t>
  </si>
  <si>
    <t>5 participants (2 learners)</t>
  </si>
  <si>
    <t>Single prototype test</t>
  </si>
  <si>
    <t>E5: No real XR exposure (low-fidelity physical mock-up)</t>
  </si>
  <si>
    <t>No real XR device used (physical mock-up); only 2 learners</t>
  </si>
  <si>
    <t>Mateu J.; Lasala M.J.; Alamán X.</t>
  </si>
  <si>
    <t>Mateu, Juan (55507439500); Lasala, María José (56018168200); Alamán, Xavier (6508230574)</t>
  </si>
  <si>
    <t>55507439500; 56018168200; 6508230574</t>
  </si>
  <si>
    <t>Sensors (Switzerland)</t>
  </si>
  <si>
    <t>10.3390/s150921760</t>
  </si>
  <si>
    <t>https://www.scopus.com/inward/record.uri?eid=2-s2.0-84940703967&amp;doi=10.3390%2fs150921760&amp;partnerID=40&amp;md5=5e379b83bb8f0eb9cd586c4bd4da1568</t>
  </si>
  <si>
    <t>Universidad Autónoma de Madrid, Madrid, 28049, Spain; IES Ernest Lluch, Cunit, Tarragona, 43881, Spain</t>
  </si>
  <si>
    <t>Mateu J., Universidad Autónoma de Madrid, Madrid, 28049, Spain; Lasala M.J., IES Ernest Lluch, Cunit, Tarragona, 43881, Spain; Alamán X., Universidad Autónoma de Madrid, Madrid, 28049, Spain</t>
  </si>
  <si>
    <t>In this paper, we present Virtual Touch, a toolkit that allows the development of educational activities through a mixed reality environment such that, using various tangible elements, the interconnection of a virtual world with the real world is enabled. The main goal of Virtual Touch is to facilitate the installation, configuration and programming of different types of technologies, abstracting the creator of educational applications from the technical details involving the use of tangible interfaces and virtual worlds. Therefore, it is specially designed to enable teachers to themselves create educational activities for their students in a simple way, taking into account that teachers generally lack advanced knowledge in computer programming and electronics. The toolkit has been used to develop various educational applications that have been tested in two secondary education high schools in Spain. © 2015 by the authors; licensee MDPI, Basel, Switzerland.</t>
  </si>
  <si>
    <t>Education; Mixed reality; Tangible user interfaces; Virtual worlds</t>
  </si>
  <si>
    <t>Computer programming; Design; Human computer interaction; Interactive computer graphics; Teaching; User interfaces; Virtual reality; Educational activities; Educational Applications; Mixed reality; Mixed-reality environment; Tangible interfaces; Tangible user interfaces; Technical details; Virtual worlds; Education</t>
  </si>
  <si>
    <t>MDPI AG</t>
  </si>
  <si>
    <t>All Open Access; Gold Open Access; Green Open Access</t>
  </si>
  <si>
    <t xml:space="preserve">Devices and platforms:
OpenSimulator virtual world platform​
.
Hardware for tangible interactions:
Phidgets sensors
Arduino-based sensors
Microsoft Kinect (gesture, speech, object recognition)​
.
No HMD/headsets; MR via PC + physical devices.
</t>
  </si>
  <si>
    <t xml:space="preserve">Methods:
Questionnaires about usability, motivation, and understanding​
.
Teacher interviews to validate ease of use and educational outcomes​
.
Experimental tests comparing performance (traditional vs. MR groups)​
.
</t>
  </si>
  <si>
    <t xml:space="preserve">Students:
Increased engagement, motivation, and understanding of abstract concepts (e.g., programming algorithms, grammar)​
.
Achieved higher test scores (e.g., 80% correct for MR groups vs. 60% for traditional in a Greek mythology case study)​
.
Teachers:
Found system easy to configure.
Could create custom activities even with basic/intermediate tech knowledge​
.
</t>
  </si>
  <si>
    <t>Metrics:
Correct answer rates in learning tests (traditional vs MR groups).
Motivation and engagement questionnaire scores.
Qualitative feedback (ease of use, user satisfaction).
Quantitative examples:
Cubica (Sorting Algorithms): 97% better understanding using MR​
.
Virtual Touch Book (Ancient Greece study): 80% test success in MR vs. 60% in traditional​
.</t>
  </si>
  <si>
    <t xml:space="preserve">Technologies:
Phidgets (RFID sensors, LCDs)
Arduino (light detection in books)
Microsoft Kinect (shape, gesture, voice recognition)
OpenSimulator (for creating 3D virtual educational environments)​
.
MySQL database (activity and user data storage)​
.
</t>
  </si>
  <si>
    <t>The system if for teachers not students</t>
  </si>
  <si>
    <t>Secondary students incl. SEN groups and newcomer students (12–15) in 3 Spanish schools</t>
  </si>
  <si>
    <t>Programming algorithms; history; grammar</t>
  </si>
  <si>
    <t>Desktop virtual world + tangible interfaces</t>
  </si>
  <si>
    <t>Cubica: 97% found it helpful, interesting and motivating to all, 83% want to continue at home; Virtual Touch Book: 80% vs 60% correct (MR vs traditional group)</t>
  </si>
  <si>
    <t>Author-made questionnaires; subject tests; teacher assessment</t>
  </si>
  <si>
    <t>Not reported (several classes)</t>
  </si>
  <si>
    <t>2–4 sessions per case study</t>
  </si>
  <si>
    <t>Distraction: students spent time customising avatars / exploring off-task</t>
  </si>
  <si>
    <t>Engagement mixed (held attention but off-task distraction); control comparison in one case only, no N or statistics</t>
  </si>
  <si>
    <t>Moved from row</t>
  </si>
  <si>
    <t>Country</t>
  </si>
  <si>
    <t>Educational Domain/Topic</t>
  </si>
  <si>
    <t>Student Age Group</t>
  </si>
  <si>
    <t>Sample Size</t>
  </si>
  <si>
    <t>XR Reported Effects (Engagement, Motivation, Satisfaction, Learning, etc.)</t>
  </si>
  <si>
    <t>Evidence Strength</t>
  </si>
  <si>
    <t>Evidence Consistency</t>
  </si>
  <si>
    <t>Adverse Effects (Cybersickness, Cognitive Overload, Discomfort, Other)</t>
  </si>
  <si>
    <t>Alignment note</t>
  </si>
  <si>
    <t>Chemistry Education</t>
  </si>
  <si>
    <t>Secondary school students</t>
  </si>
  <si>
    <t>30 students</t>
  </si>
  <si>
    <t>Positive engagement; high usability; perceived support for chemistry learning</t>
  </si>
  <si>
    <t>Moderate (small quantitative evaluation with SUS)</t>
  </si>
  <si>
    <t>Consistent positive usability outcome</t>
  </si>
  <si>
    <t>Unchanged</t>
  </si>
  <si>
    <t>Science Education (Plant Learning)</t>
  </si>
  <si>
    <t>Primary school (fifth grade)</t>
  </si>
  <si>
    <t>37 students; 15 teachers</t>
  </si>
  <si>
    <t>Flow experience, concentration, playability, positive learning attitudes</t>
  </si>
  <si>
    <t>Moderate (mixed teacher/student evaluation)</t>
  </si>
  <si>
    <t>Consistent positive perception and flow-related outcomes</t>
  </si>
  <si>
    <t>Computational Thinking / Inclusive STEM Education</t>
  </si>
  <si>
    <t>K-10/basic education students</t>
  </si>
  <si>
    <t>Not clearly identified in extracted information</t>
  </si>
  <si>
    <t>User acceptance; engagement; intrinsic motivation; inclusive learning support</t>
  </si>
  <si>
    <t>Limited to Moderate (prototype evaluation)</t>
  </si>
  <si>
    <t>Positive usability/acceptance findings</t>
  </si>
  <si>
    <t>Argentina/Spain collaboration (study context requires full text verification)</t>
  </si>
  <si>
    <t>Inclusive Education / Autism / Assistive Technology</t>
  </si>
  <si>
    <t>Children with autism (age not extracted)</t>
  </si>
  <si>
    <t>Academic engagement; social participation; educational and psychological benefits</t>
  </si>
  <si>
    <t>Limited (case study)</t>
  </si>
  <si>
    <t>Positive case-study evidence</t>
  </si>
  <si>
    <t>English Language Learning</t>
  </si>
  <si>
    <t>High school students</t>
  </si>
  <si>
    <t>Enjoyment, perceived usefulness, acceptance, intention to use</t>
  </si>
  <si>
    <t>Moderate (TAM-based evaluation)</t>
  </si>
  <si>
    <t>Consistent positive acceptance results</t>
  </si>
  <si>
    <t>Language Learning / ESL</t>
  </si>
  <si>
    <t>Not clearly reported</t>
  </si>
  <si>
    <t>Interaction skills, engagement, confidence in virtual environment</t>
  </si>
  <si>
    <t>Limited-Moderate (prototype evaluation)</t>
  </si>
  <si>
    <t>Positive reported effects</t>
  </si>
  <si>
    <t>Was on row 8 (belonged to this paper)</t>
  </si>
  <si>
    <t>UAE</t>
  </si>
  <si>
    <t>Science Education (Water Cycle)</t>
  </si>
  <si>
    <t>Younger students</t>
  </si>
  <si>
    <t>Understanding of concepts, satisfaction/user rating</t>
  </si>
  <si>
    <t>Limited-Moderate (application survey)</t>
  </si>
  <si>
    <t>Was on row 9 (belonged to this paper)</t>
  </si>
  <si>
    <t>Agriculture Education / Precision Agriculture Training</t>
  </si>
  <si>
    <t>Students/trainees (age not clearly reported)</t>
  </si>
  <si>
    <t>Training interaction and skill development</t>
  </si>
  <si>
    <t>Limited (design-focused study)</t>
  </si>
  <si>
    <t>Not applicable/limited</t>
  </si>
  <si>
    <t>Was on row 10 (belonged to this paper)</t>
  </si>
  <si>
    <t>Middle School Science / STEM (Earth Science)</t>
  </si>
  <si>
    <t>Grade 5-8 students</t>
  </si>
  <si>
    <t>220 students</t>
  </si>
  <si>
    <t>Engagement, collaboration, information exchange, reflection</t>
  </si>
  <si>
    <t>Moderate (mixed methods with survey, interviews and student work)</t>
  </si>
  <si>
    <t>Consistent positive engagement findings</t>
  </si>
  <si>
    <t>Was on row 11 (belonged to this paper)</t>
  </si>
  <si>
    <t>Cultural Heritage Education / History</t>
  </si>
  <si>
    <t>General learners/visitors (education context)</t>
  </si>
  <si>
    <t>Engagement, motivation, content understanding</t>
  </si>
  <si>
    <t>Positive preliminary evidence</t>
  </si>
  <si>
    <t>Was on row 12 (belonged to this paper)</t>
  </si>
  <si>
    <t>Physics Education (Mechanics)</t>
  </si>
  <si>
    <t>Concept understanding and visualization of physical processes</t>
  </si>
  <si>
    <t>Limited (application development)</t>
  </si>
  <si>
    <t>Positive reported outcomes</t>
  </si>
  <si>
    <t>Was on row 13 (belonged to this paper)</t>
  </si>
  <si>
    <t>Music Education (Harmony)</t>
  </si>
  <si>
    <t>Music school learners</t>
  </si>
  <si>
    <t>Engagement, usability, effectiveness, learning support</t>
  </si>
  <si>
    <t>Limited (qualitative small sample)</t>
  </si>
  <si>
    <t>Positive qualitative findings</t>
  </si>
  <si>
    <t>Was on row 14 (belonged to this paper)</t>
  </si>
  <si>
    <t>VR Education (subject context not clearly extracted)</t>
  </si>
  <si>
    <t>9th-grade students</t>
  </si>
  <si>
    <t>Satisfaction, interactive experience, perceived value, learning effectiveness</t>
  </si>
  <si>
    <t>Moderate (experimental study)</t>
  </si>
  <si>
    <t>Consistent positive satisfaction results</t>
  </si>
  <si>
    <t>Was on row 15 (belonged to this paper)</t>
  </si>
  <si>
    <t>English Language Learning with VR/GenAI</t>
  </si>
  <si>
    <t>University students (outside basic education; verify inclusion)</t>
  </si>
  <si>
    <t>7 participants</t>
  </si>
  <si>
    <t>Satisfaction, usability, learnability</t>
  </si>
  <si>
    <t>Limited-Moderate (small usability study using SUS/CVI)</t>
  </si>
  <si>
    <t>Positive usability findings</t>
  </si>
  <si>
    <t>Was on row 16 (belonged to this paper)</t>
  </si>
  <si>
    <t>Astronomy / Science Education</t>
  </si>
  <si>
    <t>K-8 students</t>
  </si>
  <si>
    <t>Interest, exploration, learning support</t>
  </si>
  <si>
    <t>Limited (prototype/application description)</t>
  </si>
  <si>
    <t>Limited evidence</t>
  </si>
  <si>
    <t>Data on row 7 matched no paper (said USA / K-8 astronomy); StellarScape authors are in India. Do not use – replaced in Sheet1.</t>
  </si>
  <si>
    <t>Context-aware Mixed Reality Education</t>
  </si>
  <si>
    <t>Learners/participants</t>
  </si>
  <si>
    <t>Engagement, curiosity, visual content retention, personalized learning experience</t>
  </si>
  <si>
    <t>Moderate (participant study and interviews)</t>
  </si>
  <si>
    <t>Was on row 23 (belonged to this paper)</t>
  </si>
  <si>
    <t>Cross-Reality Collaboration / Chemistry Education</t>
  </si>
  <si>
    <t>Students and instructors (not clearly reported)</t>
  </si>
  <si>
    <t>Collaboration, usability, user experience, practice-based learning</t>
  </si>
  <si>
    <t>Moderate (system evaluation across scenarios)</t>
  </si>
  <si>
    <t>Positive usability results</t>
  </si>
  <si>
    <t>Was on row 24 (belonged to this paper)</t>
  </si>
  <si>
    <t>STEM Education / Scale Cognition in VR</t>
  </si>
  <si>
    <t>Elementary and middle school students</t>
  </si>
  <si>
    <t>69 students</t>
  </si>
  <si>
    <t>Interactive learning, engagement, discussions, understanding of scale, STEM interest</t>
  </si>
  <si>
    <t>Moderate (survey and observations)</t>
  </si>
  <si>
    <t>Consistent positive learner responses</t>
  </si>
  <si>
    <t>Was on row 25 (belonged to this paper)</t>
  </si>
  <si>
    <t>Virtual Classroom and AR Visualization Platform</t>
  </si>
  <si>
    <t>Visualization, engagement, interactive understanding of concepts</t>
  </si>
  <si>
    <t>Limited (platform development paper)</t>
  </si>
  <si>
    <t>Was on row 26 (belonged to this paper)</t>
  </si>
  <si>
    <t>Science Education / VR Learning Assessment</t>
  </si>
  <si>
    <t>Learner experience, knowledge transfer, authentic assessment support</t>
  </si>
  <si>
    <t>Moderate (design science research with iterative evaluation)</t>
  </si>
  <si>
    <t>Positive findings on learner-centred VR design</t>
  </si>
  <si>
    <t>Was on row 17 (belonged to this paper)</t>
  </si>
  <si>
    <t>Turkey/International conference context</t>
  </si>
  <si>
    <t>GIS-based Educational Game / Virtual Tour Learning</t>
  </si>
  <si>
    <t>Engagement and learning through virtual tour/game experience</t>
  </si>
  <si>
    <t>Limited (prototype/design paper)</t>
  </si>
  <si>
    <t>Was on row 18 (belonged to this paper)</t>
  </si>
  <si>
    <t>Preschool Science Education / AI-supported Scientific Games</t>
  </si>
  <si>
    <t>Preschool children</t>
  </si>
  <si>
    <t>Interest in scientific games, understanding of scientific knowledge, teacher-supported learning</t>
  </si>
  <si>
    <t>Not usable for evidence synthesis (retracted paper)</t>
  </si>
  <si>
    <t>Retracted; reliability concerns</t>
  </si>
  <si>
    <t>Was on row 19 (belonged to this paper)</t>
  </si>
  <si>
    <t>Computer Architecture / Engineering Education</t>
  </si>
  <si>
    <t>University engineering students</t>
  </si>
  <si>
    <t>Motivation, engagement, learning outcomes, user experience</t>
  </si>
  <si>
    <t>Moderate (prototype beta test and UEQ evaluation)</t>
  </si>
  <si>
    <t>Was on row 20 (belonged to this paper)</t>
  </si>
  <si>
    <t>Earth Systems / Mixed Reality STEM Education</t>
  </si>
  <si>
    <t>Students (not clearly reported)</t>
  </si>
  <si>
    <t>Immersive exploration and understanding of earth system concepts</t>
  </si>
  <si>
    <t>Limited (development paper)</t>
  </si>
  <si>
    <t>Was on row 21 (belonged to this paper)</t>
  </si>
  <si>
    <t>Science Education / COVID-19 Vaccine Science Storytelling</t>
  </si>
  <si>
    <t>General public/learners</t>
  </si>
  <si>
    <t>Learning support through interactive storytelling, immersion and engagement</t>
  </si>
  <si>
    <t>Limited (prototype description)</t>
  </si>
  <si>
    <t>Was on row 22 (belonged to this paper)</t>
  </si>
  <si>
    <t>Elementary Science Education / VR Insects Learning</t>
  </si>
  <si>
    <t>Elementary school students</t>
  </si>
  <si>
    <t>Positive motivation, attitudes, learning experience and lower cognitive load</t>
  </si>
  <si>
    <t>Moderate (user experience evaluation)</t>
  </si>
  <si>
    <t>Consistent positive findings</t>
  </si>
  <si>
    <t>Lower cognitive load reported; no adverse effects</t>
  </si>
  <si>
    <t>Was on row 31 (belonged to this paper)</t>
  </si>
  <si>
    <t>High School Science Education / VR Deeper Learning</t>
  </si>
  <si>
    <t>Engagement, deeper learning, collaboration, content mastery and self-directed learning</t>
  </si>
  <si>
    <t>Moderate (qualitative classroom study)</t>
  </si>
  <si>
    <t>Positive qualitative evidence</t>
  </si>
  <si>
    <t>Was on row 32 (belonged to this paper)</t>
  </si>
  <si>
    <t>History Education / Virtual Simulation Learning</t>
  </si>
  <si>
    <t>Engagement, learning performance, immersive history learning experience</t>
  </si>
  <si>
    <t>Limited to moderate (practice-based study)</t>
  </si>
  <si>
    <t>Was on row 33 (belonged to this paper)</t>
  </si>
  <si>
    <t>History Education / Augmented Reality Learning</t>
  </si>
  <si>
    <t>Middle school students</t>
  </si>
  <si>
    <t>Student experience, motivation, understanding of 3D historical representations</t>
  </si>
  <si>
    <t>Moderate (experimental protocol)</t>
  </si>
  <si>
    <t>Positive acceptance reported</t>
  </si>
  <si>
    <t>Was on row 34 (belonged to this paper)</t>
  </si>
  <si>
    <t>Belgium/Netherlands</t>
  </si>
  <si>
    <t>Engineering Education / VR + CFD Simulation</t>
  </si>
  <si>
    <t>Graduate engineering students</t>
  </si>
  <si>
    <t>Usability, user experience, task load, immersive engineering learning</t>
  </si>
  <si>
    <t>Strong (peer-reviewed study with questionnaires, interviews and standardized measures)</t>
  </si>
  <si>
    <t>Positive reception with identified design improvements</t>
  </si>
  <si>
    <t>Simulator sickness assessed</t>
  </si>
  <si>
    <t>Was on row 35 (belonged to this paper)</t>
  </si>
  <si>
    <t>Computer Science Education / Gamified VR Coding</t>
  </si>
  <si>
    <t>Presence, user experience, engagement and computational thinking learning</t>
  </si>
  <si>
    <t>Moderate (comparative user testing)</t>
  </si>
  <si>
    <t>Positive feedback reported</t>
  </si>
  <si>
    <t>Was on row 36 (belonged to this paper)</t>
  </si>
  <si>
    <t>Sustainability Education / XR Learning Prototype</t>
  </si>
  <si>
    <t>Elementary school children</t>
  </si>
  <si>
    <t>Engagement, user experience, attractiveness, stimulation and learning experience using XR materials</t>
  </si>
  <si>
    <t>Moderate (prototype evaluation using UEQ)</t>
  </si>
  <si>
    <t>Positive UX findings reported</t>
  </si>
  <si>
    <t>Was on row 27 (belonged to this paper)</t>
  </si>
  <si>
    <t>Early Childhood Education / VR Traffic Sign Learning</t>
  </si>
  <si>
    <t>Children aged 4–7</t>
  </si>
  <si>
    <t>Engagement, usability, satisfaction, reuse intention and learning support</t>
  </si>
  <si>
    <t>Moderate (end-user testing)</t>
  </si>
  <si>
    <t>Mixed but generally positive user evaluations</t>
  </si>
  <si>
    <t>Was on row 28 (belonged to this paper)</t>
  </si>
  <si>
    <t>Middle School Biology Education / Natural Interaction VR Learning</t>
  </si>
  <si>
    <t>Interest in learning, intuitive understanding of 3D biological structures, reduced interaction load</t>
  </si>
  <si>
    <t>Limited to moderate (system evaluation)</t>
  </si>
  <si>
    <t>Positive experience feedback reported</t>
  </si>
  <si>
    <t>Was on row 29 (belonged to this paper)</t>
  </si>
  <si>
    <t>Thailand/Finland/Spain collaboration</t>
  </si>
  <si>
    <t>Metaverse Learning Environment / Higher Education</t>
  </si>
  <si>
    <t>Undergraduate students</t>
  </si>
  <si>
    <t>21 Thai undergraduate students</t>
  </si>
  <si>
    <t>Usability, user experience, learning environment acceptance</t>
  </si>
  <si>
    <t>Moderate (usability study with standardized evaluation)</t>
  </si>
  <si>
    <t>Positive usability with identified improvement areas</t>
  </si>
  <si>
    <t>Usability issues reported</t>
  </si>
  <si>
    <t>Was on row 30 (belonged to this paper)</t>
  </si>
  <si>
    <t>History Education / Prehistoric Era VR Walkthrough</t>
  </si>
  <si>
    <t>Form 1 history students</t>
  </si>
  <si>
    <t>Improved visualization, motivation, interest and immersive history learning experience</t>
  </si>
  <si>
    <t>Limited to moderate</t>
  </si>
  <si>
    <t>Positive usability and learning motivation reported</t>
  </si>
  <si>
    <t>Was on row 38 (belonged to this paper)</t>
  </si>
  <si>
    <t>Chemistry Education / VR Laboratory Simulation</t>
  </si>
  <si>
    <t>High school chemistry students (evaluation by teachers)</t>
  </si>
  <si>
    <t>Realism, convenience, functionality and preference of VR chemistry simulation</t>
  </si>
  <si>
    <t>Positive teacher evaluation reported</t>
  </si>
  <si>
    <t>VR limitations such as hardware cost and possible dizziness discussed</t>
  </si>
  <si>
    <t>Was on row 39 (belonged to this paper)</t>
  </si>
  <si>
    <t>Inclusive Education / VR Environment for Children with ADHD</t>
  </si>
  <si>
    <t>Elementary children with ADHD and learning disabilities</t>
  </si>
  <si>
    <t>Satisfaction, motivation, improvement in directionality and memory skills</t>
  </si>
  <si>
    <t>Pilot study (limited sample)</t>
  </si>
  <si>
    <t>Mixed: some skills improved while attention/instruction did not improve clearly</t>
  </si>
  <si>
    <t>Was on row 40 (belonged to this paper)</t>
  </si>
  <si>
    <t>Special Education / Social VR Learning Environment</t>
  </si>
  <si>
    <t>Students with Autism Spectrum Disorder</t>
  </si>
  <si>
    <t>Immersion, real-world lesson generalization, ease of use and group learning support</t>
  </si>
  <si>
    <t>Moderate to strong</t>
  </si>
  <si>
    <t>Positive comparison with desktop/non-VR lessons</t>
  </si>
  <si>
    <t>Was on row 41 (belonged to this paper)</t>
  </si>
  <si>
    <t>Early Childhood Education / VR Basic Activities Recognition</t>
  </si>
  <si>
    <t>Early childhood/kindergarten users (teacher evaluation)</t>
  </si>
  <si>
    <t>UX dimensions: attractiveness, perspicuity, efficiency, dependability, stimulation and novelty</t>
  </si>
  <si>
    <t>Positive UX evaluation</t>
  </si>
  <si>
    <t>Was on row 42 (belonged to this paper)</t>
  </si>
  <si>
    <t>Physics Education / Augmented Reality Physics Applications</t>
  </si>
  <si>
    <t>Secondary and post-secondary science teachers</t>
  </si>
  <si>
    <t>6 teachers</t>
  </si>
  <si>
    <t>Teacher perception, pedagogical usefulness and design requirements for AR physics tools</t>
  </si>
  <si>
    <t>Qualitative study</t>
  </si>
  <si>
    <t>Design recommendations derived from interviews</t>
  </si>
  <si>
    <t>Was on row 43 (belonged to this paper)</t>
  </si>
  <si>
    <t>Heritage Education / Augmented Reality Framework</t>
  </si>
  <si>
    <t>Citizens and visitors</t>
  </si>
  <si>
    <t>Positive experience, motivation and heritage learning support</t>
  </si>
  <si>
    <t>Positive motivation results using ARTS model</t>
  </si>
  <si>
    <t>Was on row 44 (belonged to this paper)</t>
  </si>
  <si>
    <t>Religious Education / Virtual Umrah Application</t>
  </si>
  <si>
    <t>Interface satisfaction, efficiency, memorability and usability</t>
  </si>
  <si>
    <t>Positive user satisfaction</t>
  </si>
  <si>
    <t>Was on row 45 (belonged to this paper)</t>
  </si>
  <si>
    <t>Science Education / VR Chemistry Prototyping</t>
  </si>
  <si>
    <t>Junior high school science learners/users</t>
  </si>
  <si>
    <t>Perceived usability, user experience and active experimentation support</t>
  </si>
  <si>
    <t>Positive prototype evaluation</t>
  </si>
  <si>
    <t>Hardware cost and availability limitations discussed</t>
  </si>
  <si>
    <t>Was on row 46 (belonged to this paper)</t>
  </si>
  <si>
    <t>Mixed Reality Educational Applications / Teacher-created XR activities</t>
  </si>
  <si>
    <t>Supports active learning, collaboration, experimentation and teacher-created immersive activities</t>
  </si>
  <si>
    <t>Positive educational potential reported</t>
  </si>
  <si>
    <t>Was on row 37 (belonged to this paper)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</si>
</sst>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charset val="1"/>
    </font>
    <font>
      <b/>
      <sz val="12"/>
      <name val="Arial"/>
      <charset val="1"/>
    </font>
    <font>
      <b/>
      <sz val="10"/>
      <name val="Arial"/>
      <charset val="1"/>
    </font>
    <font>
      <sz val="10"/>
      <name val="Arial"/>
      <charset val="1"/>
    </font>
    <font>
      <i/>
      <sz val="9"/>
      <color rgb="FF595959"/>
      <name val="Arial"/>
      <charset val="1"/>
    </font>
    <font>
      <b/>
      <sz val="11"/>
      <name val="Arial"/>
      <charset val="1"/>
    </font>
    <font>
      <sz val="10"/>
      <color rgb="FF000000"/>
      <name val="Arial"/>
      <charset val="1"/>
    </font>
    <font>
      <b/>
      <sz val="10"/>
      <color rgb="FF000000"/>
      <name val="Arial"/>
      <charset val="1"/>
    </font>
    <font>
      <b/>
      <sz val="10"/>
      <color theme="1"/>
      <name val="Arial"/>
      <charset val="1"/>
    </font>
    <font>
      <sz val="10"/>
      <color theme="1"/>
      <name val="Calibri"/>
      <charset val="1"/>
    </font>
    <font>
      <u/>
      <sz val="10"/>
      <color rgb="FF0000FF"/>
      <name val="Arial"/>
      <charset val="1"/>
    </font>
    <font>
      <sz val="10"/>
      <color theme="1"/>
      <name val="Arial"/>
      <charset val="1"/>
    </font>
    <font>
      <sz val="10"/>
      <name val="Arial"/>
      <family val="2"/>
    </font>
    <font>
      <b/>
      <sz val="18"/>
      <name val="Arial"/>
      <family val="2"/>
    </font>
    <font>
      <sz val="11"/>
      <color rgb="FFFF0000"/>
      <name val="Calibri"/>
      <family val="2"/>
      <charset val="1"/>
    </font>
  </fonts>
  <fills count="12">
    <fill>
      <patternFill patternType="none"/>
    </fill>
    <fill>
      <patternFill patternType="gray125"/>
    </fill>
    <fill>
      <patternFill patternType="solid">
        <fgColor rgb="FFD9D9D9"/>
        <bgColor rgb="FFDDEBF7"/>
      </patternFill>
    </fill>
    <fill>
      <patternFill patternType="solid">
        <fgColor rgb="FFDDEBF7"/>
        <bgColor rgb="FFEDEDED"/>
      </patternFill>
    </fill>
    <fill>
      <patternFill patternType="solid">
        <fgColor rgb="FFE2EFDA"/>
        <bgColor rgb="FFEDEDED"/>
      </patternFill>
    </fill>
    <fill>
      <patternFill patternType="solid">
        <fgColor rgb="FFFFF2CC"/>
        <bgColor rgb="FFEDEDED"/>
      </patternFill>
    </fill>
    <fill>
      <patternFill patternType="solid">
        <fgColor rgb="FFEDEDED"/>
        <bgColor rgb="FFE2EFDA"/>
      </patternFill>
    </fill>
    <fill>
      <patternFill patternType="solid">
        <fgColor rgb="FFFFFFFF"/>
        <bgColor rgb="FFEDEDED"/>
      </patternFill>
    </fill>
    <fill>
      <patternFill patternType="solid">
        <fgColor rgb="FF00FF00"/>
        <bgColor rgb="FF1BAF7A"/>
      </patternFill>
    </fill>
    <fill>
      <patternFill patternType="solid">
        <fgColor theme="5"/>
        <bgColor rgb="FFEB6834"/>
      </patternFill>
    </fill>
    <fill>
      <patternFill patternType="solid">
        <fgColor rgb="FFFFFF00"/>
        <bgColor rgb="FFFFFF00"/>
      </patternFill>
    </fill>
    <fill>
      <patternFill patternType="solid">
        <fgColor rgb="FFFF0000"/>
        <bgColor rgb="FFE34948"/>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3">
    <xf numFmtId="0" fontId="0" fillId="0" borderId="0" xfId="0"/>
    <xf numFmtId="0" fontId="3" fillId="0" borderId="0" xfId="0" applyFont="1" applyAlignment="1">
      <alignment vertical="top" wrapText="1"/>
    </xf>
    <xf numFmtId="0" fontId="1" fillId="0" borderId="0" xfId="0" applyFont="1"/>
    <xf numFmtId="0" fontId="2" fillId="2" borderId="0" xfId="0" applyFont="1" applyFill="1" applyAlignment="1">
      <alignment vertical="top" wrapText="1"/>
    </xf>
    <xf numFmtId="0" fontId="3" fillId="3" borderId="0" xfId="0" applyFont="1" applyFill="1" applyAlignment="1">
      <alignment vertical="top" wrapText="1"/>
    </xf>
    <xf numFmtId="0" fontId="3" fillId="4" borderId="0" xfId="0" applyFont="1" applyFill="1" applyAlignment="1">
      <alignment vertical="top" wrapText="1"/>
    </xf>
    <xf numFmtId="0" fontId="3" fillId="5" borderId="0" xfId="0" applyFont="1" applyFill="1" applyAlignment="1">
      <alignment vertical="top" wrapText="1"/>
    </xf>
    <xf numFmtId="0" fontId="3" fillId="6" borderId="0" xfId="0" applyFont="1" applyFill="1" applyAlignment="1">
      <alignment vertical="top" wrapText="1"/>
    </xf>
    <xf numFmtId="0" fontId="4" fillId="0" borderId="0" xfId="0" applyFont="1"/>
    <xf numFmtId="0" fontId="5" fillId="0" borderId="0" xfId="0" applyFont="1"/>
    <xf numFmtId="0" fontId="2" fillId="2" borderId="0" xfId="0" applyFont="1" applyFill="1" applyAlignment="1">
      <alignment horizontal="center" vertical="center" wrapText="1"/>
    </xf>
    <xf numFmtId="0" fontId="3" fillId="0" borderId="0" xfId="0" applyFont="1"/>
    <xf numFmtId="9" fontId="3" fillId="0" borderId="0" xfId="0" applyNumberFormat="1" applyFont="1"/>
    <xf numFmtId="0" fontId="2" fillId="0" borderId="0" xfId="0" applyFont="1"/>
    <xf numFmtId="0" fontId="2" fillId="5" borderId="0" xfId="0" applyFont="1" applyFill="1" applyAlignment="1">
      <alignment vertical="center" wrapText="1"/>
    </xf>
    <xf numFmtId="0" fontId="6" fillId="7" borderId="0" xfId="0" applyFont="1" applyFill="1" applyAlignment="1">
      <alignment horizontal="left"/>
    </xf>
    <xf numFmtId="0" fontId="7" fillId="7" borderId="0" xfId="0" applyFont="1" applyFill="1" applyAlignment="1">
      <alignment horizontal="left"/>
    </xf>
    <xf numFmtId="0" fontId="8" fillId="0" borderId="0" xfId="0" applyFont="1"/>
    <xf numFmtId="0" fontId="2" fillId="3" borderId="1" xfId="0" applyFont="1" applyFill="1" applyBorder="1" applyAlignment="1">
      <alignment vertical="center" wrapText="1"/>
    </xf>
    <xf numFmtId="0" fontId="2" fillId="4" borderId="1" xfId="0" applyFont="1" applyFill="1" applyBorder="1" applyAlignment="1">
      <alignment vertical="center" wrapText="1"/>
    </xf>
    <xf numFmtId="0" fontId="2" fillId="5" borderId="1" xfId="0" applyFont="1" applyFill="1" applyBorder="1" applyAlignment="1">
      <alignment vertical="center" wrapText="1"/>
    </xf>
    <xf numFmtId="0" fontId="2" fillId="6" borderId="1" xfId="0" applyFont="1" applyFill="1" applyBorder="1" applyAlignment="1">
      <alignment vertical="center" wrapText="1"/>
    </xf>
    <xf numFmtId="0" fontId="9" fillId="8" borderId="0" xfId="0" applyFont="1" applyFill="1"/>
    <xf numFmtId="0" fontId="10" fillId="8" borderId="0" xfId="0" applyFont="1" applyFill="1"/>
    <xf numFmtId="0" fontId="9" fillId="9" borderId="0" xfId="0" applyFont="1" applyFill="1"/>
    <xf numFmtId="0" fontId="9" fillId="8" borderId="0" xfId="0" applyFont="1" applyFill="1" applyAlignment="1">
      <alignment wrapText="1"/>
    </xf>
    <xf numFmtId="0" fontId="3" fillId="10" borderId="0" xfId="0" applyFont="1" applyFill="1" applyAlignment="1">
      <alignment vertical="top" wrapText="1"/>
    </xf>
    <xf numFmtId="0" fontId="11" fillId="8" borderId="0" xfId="0" applyFont="1" applyFill="1" applyAlignment="1">
      <alignment wrapText="1"/>
    </xf>
    <xf numFmtId="0" fontId="9" fillId="11" borderId="0" xfId="0" applyFont="1" applyFill="1"/>
    <xf numFmtId="0" fontId="3" fillId="0" borderId="0" xfId="0" applyFont="1" applyAlignment="1">
      <alignment vertical="top" wrapText="1"/>
    </xf>
    <xf numFmtId="0" fontId="13" fillId="0" borderId="0" xfId="0" applyFont="1" applyAlignment="1">
      <alignment horizontal="left" vertical="center" wrapText="1"/>
    </xf>
    <xf numFmtId="0" fontId="13" fillId="0" borderId="0" xfId="0" applyFont="1" applyAlignment="1">
      <alignment horizontal="center"/>
    </xf>
    <xf numFmtId="0" fontId="14"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B8B8B"/>
      <rgbColor rgb="FF9999FF"/>
      <rgbColor rgb="FFE34948"/>
      <rgbColor rgb="FFFFF2CC"/>
      <rgbColor rgb="FFDDEBF7"/>
      <rgbColor rgb="FF660066"/>
      <rgbColor rgb="FFED7D31"/>
      <rgbColor rgb="FF0066CC"/>
      <rgbColor rgb="FFD9D9D9"/>
      <rgbColor rgb="FF000080"/>
      <rgbColor rgb="FFFF00FF"/>
      <rgbColor rgb="FFFFFF00"/>
      <rgbColor rgb="FF00FFFF"/>
      <rgbColor rgb="FF800080"/>
      <rgbColor rgb="FF800000"/>
      <rgbColor rgb="FF008080"/>
      <rgbColor rgb="FF0000FF"/>
      <rgbColor rgb="FF00CCFF"/>
      <rgbColor rgb="FFEDEDED"/>
      <rgbColor rgb="FFE2EFDA"/>
      <rgbColor rgb="FFFFFF99"/>
      <rgbColor rgb="FF99CCFF"/>
      <rgbColor rgb="FFFF99CC"/>
      <rgbColor rgb="FFCC99FF"/>
      <rgbColor rgb="FFFFCC99"/>
      <rgbColor rgb="FF2A78D6"/>
      <rgbColor rgb="FF33CCCC"/>
      <rgbColor rgb="FF99CC00"/>
      <rgbColor rgb="FFFFCC00"/>
      <rgbColor rgb="FFEDA100"/>
      <rgbColor rgb="FFEB6834"/>
      <rgbColor rgb="FF595959"/>
      <rgbColor rgb="FFA6A6A6"/>
      <rgbColor rgb="FF003366"/>
      <rgbColor rgb="FF1BAF7A"/>
      <rgbColor rgb="FF003300"/>
      <rgbColor rgb="FF333300"/>
      <rgbColor rgb="FF993300"/>
      <rgbColor rgb="FF993366"/>
      <rgbColor rgb="FF333399"/>
      <rgbColor rgb="FF52514E"/>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Figure 1. Eligibility flow (number of studies)</a:t>
            </a:r>
          </a:p>
        </c:rich>
      </c:tx>
      <c:overlay val="0"/>
      <c:spPr>
        <a:noFill/>
        <a:ln w="0">
          <a:noFill/>
        </a:ln>
      </c:spPr>
    </c:title>
    <c:autoTitleDeleted val="0"/>
    <c:plotArea>
      <c:layout/>
      <c:barChart>
        <c:barDir val="bar"/>
        <c:grouping val="clustered"/>
        <c:varyColors val="0"/>
        <c:ser>
          <c:idx val="0"/>
          <c:order val="0"/>
          <c:tx>
            <c:strRef>
              <c:f>'Evidence Map'!$B$7</c:f>
              <c:strCache>
                <c:ptCount val="1"/>
                <c:pt idx="0">
                  <c:v>1</c:v>
                </c:pt>
              </c:strCache>
            </c:strRef>
          </c:tx>
          <c:spPr>
            <a:solidFill>
              <a:srgbClr val="2A78D6"/>
            </a:solidFill>
            <a:ln w="6480">
              <a:solidFill>
                <a:srgbClr val="2A78D6"/>
              </a:solidFill>
              <a:round/>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'Evidence Map'!$A$8:$A$15</c:f>
              <c:strCache>
                <c:ptCount val="8"/>
                <c:pt idx="0">
                  <c:v>Mapping corpus used for RQ5</c:v>
                </c:pt>
                <c:pt idx="1">
                  <c:v>Excluded – E2 no learner data</c:v>
                </c:pt>
                <c:pt idx="2">
                  <c:v>Excluded – E3 no E/M/S outcome measured</c:v>
                </c:pt>
                <c:pt idx="3">
                  <c:v>Excluded – E4 teacher-only data</c:v>
                </c:pt>
                <c:pt idx="4">
                  <c:v>Excluded – E5 no real XR exposure</c:v>
                </c:pt>
                <c:pt idx="5">
                  <c:v>Empirical studies (RQ7 appraisal)</c:v>
                </c:pt>
                <c:pt idx="6">
                  <c:v>  Sensitivity (outside basic education)</c:v>
                </c:pt>
                <c:pt idx="7">
                  <c:v>  Core synthesis set (RQ6)</c:v>
                </c:pt>
              </c:strCache>
            </c:strRef>
          </c:cat>
          <c:val>
            <c:numRef>
              <c:f>'Evidence Map'!$B$8:$B$15</c:f>
              <c:numCache>
                <c:formatCode>General</c:formatCode>
                <c:ptCount val="8"/>
                <c:pt idx="0">
                  <c:v>44</c:v>
                </c:pt>
                <c:pt idx="1">
                  <c:v>8</c:v>
                </c:pt>
                <c:pt idx="2">
                  <c:v>1</c:v>
                </c:pt>
                <c:pt idx="3">
                  <c:v>2</c:v>
                </c:pt>
                <c:pt idx="4">
                  <c:v>1</c:v>
                </c:pt>
                <c:pt idx="5">
                  <c:v>32</c:v>
                </c:pt>
                <c:pt idx="6">
                  <c:v>11</c:v>
                </c:pt>
                <c:pt idx="7">
                  <c:v>21</c:v>
                </c:pt>
              </c:numCache>
            </c:numRef>
          </c:val>
          <c:extLst>
            <c:ext xmlns:c16="http://schemas.microsoft.com/office/drawing/2014/chart" uri="{C3380CC4-5D6E-409C-BE32-E72D297353CC}">
              <c16:uniqueId val="{00000000-D845-41C6-A8F8-DD5D4087368B}"/>
            </c:ext>
          </c:extLst>
        </c:ser>
        <c:dLbls>
          <c:showLegendKey val="0"/>
          <c:showVal val="0"/>
          <c:showCatName val="0"/>
          <c:showSerName val="0"/>
          <c:showPercent val="0"/>
          <c:showBubbleSize val="0"/>
        </c:dLbls>
        <c:gapWidth val="60"/>
        <c:axId val="2954366"/>
        <c:axId val="99902796"/>
      </c:barChart>
      <c:catAx>
        <c:axId val="2954366"/>
        <c:scaling>
          <c:orientation val="maxMin"/>
        </c:scaling>
        <c:delete val="0"/>
        <c:axPos val="l"/>
        <c:numFmt formatCode="General"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99902796"/>
        <c:crosses val="autoZero"/>
        <c:auto val="1"/>
        <c:lblAlgn val="ctr"/>
        <c:lblOffset val="100"/>
        <c:noMultiLvlLbl val="0"/>
      </c:catAx>
      <c:valAx>
        <c:axId val="99902796"/>
        <c:scaling>
          <c:orientation val="minMax"/>
        </c:scaling>
        <c:delete val="0"/>
        <c:axPos val="t"/>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Number of studies</a:t>
                </a:r>
              </a:p>
            </c:rich>
          </c:tx>
          <c:overlay val="0"/>
          <c:spPr>
            <a:noFill/>
            <a:ln w="0">
              <a:noFill/>
            </a:ln>
          </c:spPr>
        </c:title>
        <c:numFmt formatCode="General"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2954366"/>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Figure 2. RQ5 – Studies by region</a:t>
            </a:r>
          </a:p>
        </c:rich>
      </c:tx>
      <c:overlay val="0"/>
      <c:spPr>
        <a:noFill/>
        <a:ln w="0">
          <a:noFill/>
        </a:ln>
      </c:spPr>
    </c:title>
    <c:autoTitleDeleted val="0"/>
    <c:plotArea>
      <c:layout/>
      <c:barChart>
        <c:barDir val="col"/>
        <c:grouping val="clustered"/>
        <c:varyColors val="0"/>
        <c:ser>
          <c:idx val="0"/>
          <c:order val="0"/>
          <c:tx>
            <c:strRef>
              <c:f>'Evidence Map'!$B$60</c:f>
              <c:strCache>
                <c:ptCount val="1"/>
                <c:pt idx="0">
                  <c:v>Mapping corpus (n = 44)</c:v>
                </c:pt>
              </c:strCache>
            </c:strRef>
          </c:tx>
          <c:spPr>
            <a:solidFill>
              <a:srgbClr val="2A78D6"/>
            </a:solidFill>
            <a:ln w="6480">
              <a:solidFill>
                <a:srgbClr val="2A78D6"/>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'Evidence Map'!$A$61:$A$66</c:f>
              <c:strCache>
                <c:ptCount val="6"/>
                <c:pt idx="0">
                  <c:v>Asia</c:v>
                </c:pt>
                <c:pt idx="1">
                  <c:v>Europe</c:v>
                </c:pt>
                <c:pt idx="2">
                  <c:v>North America</c:v>
                </c:pt>
                <c:pt idx="3">
                  <c:v>South America</c:v>
                </c:pt>
                <c:pt idx="4">
                  <c:v>Africa</c:v>
                </c:pt>
                <c:pt idx="5">
                  <c:v>Oceania</c:v>
                </c:pt>
              </c:strCache>
            </c:strRef>
          </c:cat>
          <c:val>
            <c:numRef>
              <c:f>'Evidence Map'!$B$61:$B$66</c:f>
              <c:numCache>
                <c:formatCode>General</c:formatCode>
                <c:ptCount val="6"/>
                <c:pt idx="0">
                  <c:v>22</c:v>
                </c:pt>
                <c:pt idx="1">
                  <c:v>8</c:v>
                </c:pt>
                <c:pt idx="2">
                  <c:v>10</c:v>
                </c:pt>
                <c:pt idx="3">
                  <c:v>2</c:v>
                </c:pt>
                <c:pt idx="4">
                  <c:v>1</c:v>
                </c:pt>
                <c:pt idx="5">
                  <c:v>1</c:v>
                </c:pt>
              </c:numCache>
            </c:numRef>
          </c:val>
          <c:extLst>
            <c:ext xmlns:c16="http://schemas.microsoft.com/office/drawing/2014/chart" uri="{C3380CC4-5D6E-409C-BE32-E72D297353CC}">
              <c16:uniqueId val="{00000000-164D-4DF0-B7FF-7822881D8B4B}"/>
            </c:ext>
          </c:extLst>
        </c:ser>
        <c:ser>
          <c:idx val="1"/>
          <c:order val="1"/>
          <c:tx>
            <c:strRef>
              <c:f>'Evidence Map'!$C$60</c:f>
              <c:strCache>
                <c:ptCount val="1"/>
                <c:pt idx="0">
                  <c:v>Core set (n = 21)</c:v>
                </c:pt>
              </c:strCache>
            </c:strRef>
          </c:tx>
          <c:spPr>
            <a:solidFill>
              <a:srgbClr val="EB6834"/>
            </a:solidFill>
            <a:ln w="6480">
              <a:solidFill>
                <a:srgbClr val="EB6834"/>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'Evidence Map'!$A$61:$A$66</c:f>
              <c:strCache>
                <c:ptCount val="6"/>
                <c:pt idx="0">
                  <c:v>Asia</c:v>
                </c:pt>
                <c:pt idx="1">
                  <c:v>Europe</c:v>
                </c:pt>
                <c:pt idx="2">
                  <c:v>North America</c:v>
                </c:pt>
                <c:pt idx="3">
                  <c:v>South America</c:v>
                </c:pt>
                <c:pt idx="4">
                  <c:v>Africa</c:v>
                </c:pt>
                <c:pt idx="5">
                  <c:v>Oceania</c:v>
                </c:pt>
              </c:strCache>
            </c:strRef>
          </c:cat>
          <c:val>
            <c:numRef>
              <c:f>'Evidence Map'!$C$61:$C$66</c:f>
              <c:numCache>
                <c:formatCode>General</c:formatCode>
                <c:ptCount val="6"/>
                <c:pt idx="0">
                  <c:v>11</c:v>
                </c:pt>
                <c:pt idx="1">
                  <c:v>3</c:v>
                </c:pt>
                <c:pt idx="2">
                  <c:v>4</c:v>
                </c:pt>
                <c:pt idx="3">
                  <c:v>1</c:v>
                </c:pt>
                <c:pt idx="4">
                  <c:v>1</c:v>
                </c:pt>
                <c:pt idx="5">
                  <c:v>1</c:v>
                </c:pt>
              </c:numCache>
            </c:numRef>
          </c:val>
          <c:extLst>
            <c:ext xmlns:c16="http://schemas.microsoft.com/office/drawing/2014/chart" uri="{C3380CC4-5D6E-409C-BE32-E72D297353CC}">
              <c16:uniqueId val="{00000001-164D-4DF0-B7FF-7822881D8B4B}"/>
            </c:ext>
          </c:extLst>
        </c:ser>
        <c:dLbls>
          <c:showLegendKey val="0"/>
          <c:showVal val="0"/>
          <c:showCatName val="0"/>
          <c:showSerName val="0"/>
          <c:showPercent val="0"/>
          <c:showBubbleSize val="0"/>
        </c:dLbls>
        <c:gapWidth val="60"/>
        <c:axId val="81038290"/>
        <c:axId val="3758017"/>
      </c:barChart>
      <c:catAx>
        <c:axId val="81038290"/>
        <c:scaling>
          <c:orientation val="minMax"/>
        </c:scaling>
        <c:delete val="0"/>
        <c:axPos val="b"/>
        <c:numFmt formatCode="General"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3758017"/>
        <c:crosses val="autoZero"/>
        <c:auto val="1"/>
        <c:lblAlgn val="ctr"/>
        <c:lblOffset val="100"/>
        <c:noMultiLvlLbl val="0"/>
      </c:catAx>
      <c:valAx>
        <c:axId val="3758017"/>
        <c:scaling>
          <c:orientation val="minMax"/>
        </c:scaling>
        <c:delete val="0"/>
        <c:axPos val="l"/>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Number of studies</a:t>
                </a:r>
              </a:p>
            </c:rich>
          </c:tx>
          <c:overlay val="0"/>
          <c:spPr>
            <a:noFill/>
            <a:ln w="0">
              <a:noFill/>
            </a:ln>
          </c:spPr>
        </c:title>
        <c:numFmt formatCode="General"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81038290"/>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Figure 3. RQ5 – Studies by education level</a:t>
            </a:r>
          </a:p>
        </c:rich>
      </c:tx>
      <c:overlay val="0"/>
      <c:spPr>
        <a:noFill/>
        <a:ln w="0">
          <a:noFill/>
        </a:ln>
      </c:spPr>
    </c:title>
    <c:autoTitleDeleted val="0"/>
    <c:plotArea>
      <c:layout/>
      <c:barChart>
        <c:barDir val="bar"/>
        <c:grouping val="clustered"/>
        <c:varyColors val="0"/>
        <c:ser>
          <c:idx val="0"/>
          <c:order val="0"/>
          <c:tx>
            <c:strRef>
              <c:f>'Evidence Map'!$B$98</c:f>
              <c:strCache>
                <c:ptCount val="1"/>
                <c:pt idx="0">
                  <c:v>Mapping corpus (n = 44)</c:v>
                </c:pt>
              </c:strCache>
            </c:strRef>
          </c:tx>
          <c:spPr>
            <a:solidFill>
              <a:srgbClr val="2A78D6"/>
            </a:solidFill>
            <a:ln w="6480">
              <a:solidFill>
                <a:srgbClr val="2A78D6"/>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'Evidence Map'!$A$99:$A$109</c:f>
              <c:strCache>
                <c:ptCount val="11"/>
                <c:pt idx="0">
                  <c:v>Pre-primary</c:v>
                </c:pt>
                <c:pt idx="1">
                  <c:v>Primary</c:v>
                </c:pt>
                <c:pt idx="2">
                  <c:v>Lower secondary</c:v>
                </c:pt>
                <c:pt idx="3">
                  <c:v>Upper secondary</c:v>
                </c:pt>
                <c:pt idx="4">
                  <c:v>Secondary (unspecified)</c:v>
                </c:pt>
                <c:pt idx="5">
                  <c:v>Mixed K-12</c:v>
                </c:pt>
                <c:pt idx="6">
                  <c:v>Mixed (school-age + adults)</c:v>
                </c:pt>
                <c:pt idx="7">
                  <c:v>Mixed (secondary + post-secondary)</c:v>
                </c:pt>
                <c:pt idx="8">
                  <c:v>Higher education</c:v>
                </c:pt>
                <c:pt idx="9">
                  <c:v>Informal / general public</c:v>
                </c:pt>
                <c:pt idx="10">
                  <c:v>Not reported</c:v>
                </c:pt>
              </c:strCache>
            </c:strRef>
          </c:cat>
          <c:val>
            <c:numRef>
              <c:f>'Evidence Map'!$B$99:$B$109</c:f>
              <c:numCache>
                <c:formatCode>General</c:formatCode>
                <c:ptCount val="11"/>
                <c:pt idx="0">
                  <c:v>1</c:v>
                </c:pt>
                <c:pt idx="1">
                  <c:v>4</c:v>
                </c:pt>
                <c:pt idx="2">
                  <c:v>5</c:v>
                </c:pt>
                <c:pt idx="3">
                  <c:v>3</c:v>
                </c:pt>
                <c:pt idx="4">
                  <c:v>3</c:v>
                </c:pt>
                <c:pt idx="5">
                  <c:v>4</c:v>
                </c:pt>
                <c:pt idx="6">
                  <c:v>1</c:v>
                </c:pt>
                <c:pt idx="7">
                  <c:v>4</c:v>
                </c:pt>
                <c:pt idx="8">
                  <c:v>10</c:v>
                </c:pt>
                <c:pt idx="9">
                  <c:v>3</c:v>
                </c:pt>
                <c:pt idx="10">
                  <c:v>6</c:v>
                </c:pt>
              </c:numCache>
            </c:numRef>
          </c:val>
          <c:extLst>
            <c:ext xmlns:c16="http://schemas.microsoft.com/office/drawing/2014/chart" uri="{C3380CC4-5D6E-409C-BE32-E72D297353CC}">
              <c16:uniqueId val="{00000000-089F-455A-AB1F-2631C4C7286D}"/>
            </c:ext>
          </c:extLst>
        </c:ser>
        <c:ser>
          <c:idx val="1"/>
          <c:order val="1"/>
          <c:tx>
            <c:strRef>
              <c:f>'Evidence Map'!$C$98</c:f>
              <c:strCache>
                <c:ptCount val="1"/>
                <c:pt idx="0">
                  <c:v>Core set (n = 21)</c:v>
                </c:pt>
              </c:strCache>
            </c:strRef>
          </c:tx>
          <c:spPr>
            <a:solidFill>
              <a:srgbClr val="EB6834"/>
            </a:solidFill>
            <a:ln w="6480">
              <a:solidFill>
                <a:srgbClr val="EB6834"/>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'Evidence Map'!$A$99:$A$109</c:f>
              <c:strCache>
                <c:ptCount val="11"/>
                <c:pt idx="0">
                  <c:v>Pre-primary</c:v>
                </c:pt>
                <c:pt idx="1">
                  <c:v>Primary</c:v>
                </c:pt>
                <c:pt idx="2">
                  <c:v>Lower secondary</c:v>
                </c:pt>
                <c:pt idx="3">
                  <c:v>Upper secondary</c:v>
                </c:pt>
                <c:pt idx="4">
                  <c:v>Secondary (unspecified)</c:v>
                </c:pt>
                <c:pt idx="5">
                  <c:v>Mixed K-12</c:v>
                </c:pt>
                <c:pt idx="6">
                  <c:v>Mixed (school-age + adults)</c:v>
                </c:pt>
                <c:pt idx="7">
                  <c:v>Mixed (secondary + post-secondary)</c:v>
                </c:pt>
                <c:pt idx="8">
                  <c:v>Higher education</c:v>
                </c:pt>
                <c:pt idx="9">
                  <c:v>Informal / general public</c:v>
                </c:pt>
                <c:pt idx="10">
                  <c:v>Not reported</c:v>
                </c:pt>
              </c:strCache>
            </c:strRef>
          </c:cat>
          <c:val>
            <c:numRef>
              <c:f>'Evidence Map'!$C$99:$C$109</c:f>
              <c:numCache>
                <c:formatCode>General</c:formatCode>
                <c:ptCount val="11"/>
                <c:pt idx="0">
                  <c:v>0</c:v>
                </c:pt>
                <c:pt idx="1">
                  <c:v>4</c:v>
                </c:pt>
                <c:pt idx="2">
                  <c:v>4</c:v>
                </c:pt>
                <c:pt idx="3">
                  <c:v>2</c:v>
                </c:pt>
                <c:pt idx="4">
                  <c:v>3</c:v>
                </c:pt>
                <c:pt idx="5">
                  <c:v>4</c:v>
                </c:pt>
                <c:pt idx="6">
                  <c:v>1</c:v>
                </c:pt>
                <c:pt idx="7">
                  <c:v>2</c:v>
                </c:pt>
                <c:pt idx="8">
                  <c:v>0</c:v>
                </c:pt>
                <c:pt idx="9">
                  <c:v>0</c:v>
                </c:pt>
                <c:pt idx="10">
                  <c:v>1</c:v>
                </c:pt>
              </c:numCache>
            </c:numRef>
          </c:val>
          <c:extLst>
            <c:ext xmlns:c16="http://schemas.microsoft.com/office/drawing/2014/chart" uri="{C3380CC4-5D6E-409C-BE32-E72D297353CC}">
              <c16:uniqueId val="{00000001-089F-455A-AB1F-2631C4C7286D}"/>
            </c:ext>
          </c:extLst>
        </c:ser>
        <c:dLbls>
          <c:showLegendKey val="0"/>
          <c:showVal val="0"/>
          <c:showCatName val="0"/>
          <c:showSerName val="0"/>
          <c:showPercent val="0"/>
          <c:showBubbleSize val="0"/>
        </c:dLbls>
        <c:gapWidth val="60"/>
        <c:axId val="66921007"/>
        <c:axId val="46082032"/>
      </c:barChart>
      <c:catAx>
        <c:axId val="66921007"/>
        <c:scaling>
          <c:orientation val="maxMin"/>
        </c:scaling>
        <c:delete val="0"/>
        <c:axPos val="l"/>
        <c:numFmt formatCode="General"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46082032"/>
        <c:crosses val="autoZero"/>
        <c:auto val="1"/>
        <c:lblAlgn val="ctr"/>
        <c:lblOffset val="100"/>
        <c:noMultiLvlLbl val="0"/>
      </c:catAx>
      <c:valAx>
        <c:axId val="46082032"/>
        <c:scaling>
          <c:orientation val="minMax"/>
        </c:scaling>
        <c:delete val="0"/>
        <c:axPos val="t"/>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Number of studies</a:t>
                </a:r>
              </a:p>
            </c:rich>
          </c:tx>
          <c:overlay val="0"/>
          <c:spPr>
            <a:noFill/>
            <a:ln w="0">
              <a:noFill/>
            </a:ln>
          </c:spPr>
        </c:title>
        <c:numFmt formatCode="General"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66921007"/>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Figure 4. RQ5 – Studies by subject area (ISCED-F)</a:t>
            </a:r>
          </a:p>
        </c:rich>
      </c:tx>
      <c:overlay val="0"/>
      <c:spPr>
        <a:noFill/>
        <a:ln w="0">
          <a:noFill/>
        </a:ln>
      </c:spPr>
    </c:title>
    <c:autoTitleDeleted val="0"/>
    <c:plotArea>
      <c:layout/>
      <c:barChart>
        <c:barDir val="bar"/>
        <c:grouping val="clustered"/>
        <c:varyColors val="0"/>
        <c:ser>
          <c:idx val="0"/>
          <c:order val="0"/>
          <c:tx>
            <c:strRef>
              <c:f>'Evidence Map'!$B$113</c:f>
              <c:strCache>
                <c:ptCount val="1"/>
                <c:pt idx="0">
                  <c:v>Mapping corpus (n = 44)</c:v>
                </c:pt>
              </c:strCache>
            </c:strRef>
          </c:tx>
          <c:spPr>
            <a:solidFill>
              <a:srgbClr val="2A78D6"/>
            </a:solidFill>
            <a:ln w="6480">
              <a:solidFill>
                <a:srgbClr val="2A78D6"/>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'Evidence Map'!$A$114:$A$124</c:f>
              <c:strCache>
                <c:ptCount val="11"/>
                <c:pt idx="0">
                  <c:v>Natural sciences, mathematics &amp; statistics</c:v>
                </c:pt>
                <c:pt idx="1">
                  <c:v>Arts &amp; humanities (history/heritage)</c:v>
                </c:pt>
                <c:pt idx="2">
                  <c:v>Generic / multi-subject</c:v>
                </c:pt>
                <c:pt idx="3">
                  <c:v>ICT</c:v>
                </c:pt>
                <c:pt idx="4">
                  <c:v>Arts &amp; humanities (languages)</c:v>
                </c:pt>
                <c:pt idx="5">
                  <c:v>Agriculture</c:v>
                </c:pt>
                <c:pt idx="6">
                  <c:v>Arts &amp; humanities (arts)</c:v>
                </c:pt>
                <c:pt idx="7">
                  <c:v>Arts &amp; humanities (religion)</c:v>
                </c:pt>
                <c:pt idx="8">
                  <c:v>Engineering, manufacturing &amp; construction</c:v>
                </c:pt>
                <c:pt idx="9">
                  <c:v>Generic programmes (literacy)</c:v>
                </c:pt>
                <c:pt idx="10">
                  <c:v>Social sciences, journalism &amp; information</c:v>
                </c:pt>
              </c:strCache>
            </c:strRef>
          </c:cat>
          <c:val>
            <c:numRef>
              <c:f>'Evidence Map'!$B$114:$B$124</c:f>
              <c:numCache>
                <c:formatCode>General</c:formatCode>
                <c:ptCount val="11"/>
                <c:pt idx="0">
                  <c:v>19</c:v>
                </c:pt>
                <c:pt idx="1">
                  <c:v>6</c:v>
                </c:pt>
                <c:pt idx="2">
                  <c:v>6</c:v>
                </c:pt>
                <c:pt idx="3">
                  <c:v>4</c:v>
                </c:pt>
                <c:pt idx="4">
                  <c:v>3</c:v>
                </c:pt>
                <c:pt idx="5">
                  <c:v>1</c:v>
                </c:pt>
                <c:pt idx="6">
                  <c:v>1</c:v>
                </c:pt>
                <c:pt idx="7">
                  <c:v>1</c:v>
                </c:pt>
                <c:pt idx="8">
                  <c:v>1</c:v>
                </c:pt>
                <c:pt idx="9">
                  <c:v>1</c:v>
                </c:pt>
                <c:pt idx="10">
                  <c:v>1</c:v>
                </c:pt>
              </c:numCache>
            </c:numRef>
          </c:val>
          <c:extLst>
            <c:ext xmlns:c16="http://schemas.microsoft.com/office/drawing/2014/chart" uri="{C3380CC4-5D6E-409C-BE32-E72D297353CC}">
              <c16:uniqueId val="{00000000-4565-4D1A-9460-AF041125B34F}"/>
            </c:ext>
          </c:extLst>
        </c:ser>
        <c:ser>
          <c:idx val="1"/>
          <c:order val="1"/>
          <c:tx>
            <c:strRef>
              <c:f>'Evidence Map'!$C$113</c:f>
              <c:strCache>
                <c:ptCount val="1"/>
                <c:pt idx="0">
                  <c:v>Core set (n = 21)</c:v>
                </c:pt>
              </c:strCache>
            </c:strRef>
          </c:tx>
          <c:spPr>
            <a:solidFill>
              <a:srgbClr val="EB6834"/>
            </a:solidFill>
            <a:ln w="6480">
              <a:solidFill>
                <a:srgbClr val="EB6834"/>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'Evidence Map'!$A$114:$A$124</c:f>
              <c:strCache>
                <c:ptCount val="11"/>
                <c:pt idx="0">
                  <c:v>Natural sciences, mathematics &amp; statistics</c:v>
                </c:pt>
                <c:pt idx="1">
                  <c:v>Arts &amp; humanities (history/heritage)</c:v>
                </c:pt>
                <c:pt idx="2">
                  <c:v>Generic / multi-subject</c:v>
                </c:pt>
                <c:pt idx="3">
                  <c:v>ICT</c:v>
                </c:pt>
                <c:pt idx="4">
                  <c:v>Arts &amp; humanities (languages)</c:v>
                </c:pt>
                <c:pt idx="5">
                  <c:v>Agriculture</c:v>
                </c:pt>
                <c:pt idx="6">
                  <c:v>Arts &amp; humanities (arts)</c:v>
                </c:pt>
                <c:pt idx="7">
                  <c:v>Arts &amp; humanities (religion)</c:v>
                </c:pt>
                <c:pt idx="8">
                  <c:v>Engineering, manufacturing &amp; construction</c:v>
                </c:pt>
                <c:pt idx="9">
                  <c:v>Generic programmes (literacy)</c:v>
                </c:pt>
                <c:pt idx="10">
                  <c:v>Social sciences, journalism &amp; information</c:v>
                </c:pt>
              </c:strCache>
            </c:strRef>
          </c:cat>
          <c:val>
            <c:numRef>
              <c:f>'Evidence Map'!$C$114:$C$124</c:f>
              <c:numCache>
                <c:formatCode>General</c:formatCode>
                <c:ptCount val="11"/>
                <c:pt idx="0">
                  <c:v>10</c:v>
                </c:pt>
                <c:pt idx="1">
                  <c:v>2</c:v>
                </c:pt>
                <c:pt idx="2">
                  <c:v>3</c:v>
                </c:pt>
                <c:pt idx="3">
                  <c:v>2</c:v>
                </c:pt>
                <c:pt idx="4">
                  <c:v>1</c:v>
                </c:pt>
                <c:pt idx="5">
                  <c:v>0</c:v>
                </c:pt>
                <c:pt idx="6">
                  <c:v>0</c:v>
                </c:pt>
                <c:pt idx="7">
                  <c:v>1</c:v>
                </c:pt>
                <c:pt idx="8">
                  <c:v>0</c:v>
                </c:pt>
                <c:pt idx="9">
                  <c:v>1</c:v>
                </c:pt>
                <c:pt idx="10">
                  <c:v>1</c:v>
                </c:pt>
              </c:numCache>
            </c:numRef>
          </c:val>
          <c:extLst>
            <c:ext xmlns:c16="http://schemas.microsoft.com/office/drawing/2014/chart" uri="{C3380CC4-5D6E-409C-BE32-E72D297353CC}">
              <c16:uniqueId val="{00000001-4565-4D1A-9460-AF041125B34F}"/>
            </c:ext>
          </c:extLst>
        </c:ser>
        <c:dLbls>
          <c:showLegendKey val="0"/>
          <c:showVal val="0"/>
          <c:showCatName val="0"/>
          <c:showSerName val="0"/>
          <c:showPercent val="0"/>
          <c:showBubbleSize val="0"/>
        </c:dLbls>
        <c:gapWidth val="60"/>
        <c:axId val="19804662"/>
        <c:axId val="83613813"/>
      </c:barChart>
      <c:catAx>
        <c:axId val="19804662"/>
        <c:scaling>
          <c:orientation val="maxMin"/>
        </c:scaling>
        <c:delete val="0"/>
        <c:axPos val="l"/>
        <c:numFmt formatCode="General"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83613813"/>
        <c:crosses val="autoZero"/>
        <c:auto val="1"/>
        <c:lblAlgn val="ctr"/>
        <c:lblOffset val="100"/>
        <c:noMultiLvlLbl val="0"/>
      </c:catAx>
      <c:valAx>
        <c:axId val="83613813"/>
        <c:scaling>
          <c:orientation val="minMax"/>
        </c:scaling>
        <c:delete val="0"/>
        <c:axPos val="t"/>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Number of studies</a:t>
                </a:r>
              </a:p>
            </c:rich>
          </c:tx>
          <c:overlay val="0"/>
          <c:spPr>
            <a:noFill/>
            <a:ln w="0">
              <a:noFill/>
            </a:ln>
          </c:spPr>
        </c:title>
        <c:numFmt formatCode="General"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19804662"/>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Figure 5. RQ5 – Studies by country</a:t>
            </a:r>
          </a:p>
        </c:rich>
      </c:tx>
      <c:overlay val="0"/>
      <c:spPr>
        <a:noFill/>
        <a:ln w="0">
          <a:noFill/>
        </a:ln>
      </c:spPr>
    </c:title>
    <c:autoTitleDeleted val="0"/>
    <c:plotArea>
      <c:layout/>
      <c:barChart>
        <c:barDir val="bar"/>
        <c:grouping val="clustered"/>
        <c:varyColors val="0"/>
        <c:ser>
          <c:idx val="0"/>
          <c:order val="0"/>
          <c:tx>
            <c:strRef>
              <c:f>'Evidence Map'!$B$70</c:f>
              <c:strCache>
                <c:ptCount val="1"/>
                <c:pt idx="0">
                  <c:v>Mapping corpus (n = 44)</c:v>
                </c:pt>
              </c:strCache>
            </c:strRef>
          </c:tx>
          <c:spPr>
            <a:solidFill>
              <a:srgbClr val="2A78D6"/>
            </a:solidFill>
            <a:ln w="6480">
              <a:solidFill>
                <a:srgbClr val="2A78D6"/>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'Evidence Map'!$A$71:$A$94</c:f>
              <c:strCache>
                <c:ptCount val="24"/>
                <c:pt idx="0">
                  <c:v>USA</c:v>
                </c:pt>
                <c:pt idx="1">
                  <c:v>China</c:v>
                </c:pt>
                <c:pt idx="2">
                  <c:v>Indonesia</c:v>
                </c:pt>
                <c:pt idx="3">
                  <c:v>Malaysia</c:v>
                </c:pt>
                <c:pt idx="4">
                  <c:v>India</c:v>
                </c:pt>
                <c:pt idx="5">
                  <c:v>Canada</c:v>
                </c:pt>
                <c:pt idx="6">
                  <c:v>Italy</c:v>
                </c:pt>
                <c:pt idx="7">
                  <c:v>Taiwan</c:v>
                </c:pt>
                <c:pt idx="8">
                  <c:v>Argentina</c:v>
                </c:pt>
                <c:pt idx="9">
                  <c:v>Australia</c:v>
                </c:pt>
                <c:pt idx="10">
                  <c:v>Belgium</c:v>
                </c:pt>
                <c:pt idx="11">
                  <c:v>Colombia</c:v>
                </c:pt>
                <c:pt idx="12">
                  <c:v>France</c:v>
                </c:pt>
                <c:pt idx="13">
                  <c:v>Kazakhstan</c:v>
                </c:pt>
                <c:pt idx="14">
                  <c:v>Mexico</c:v>
                </c:pt>
                <c:pt idx="15">
                  <c:v>Norway</c:v>
                </c:pt>
                <c:pt idx="16">
                  <c:v>Poland</c:v>
                </c:pt>
                <c:pt idx="17">
                  <c:v>Romania</c:v>
                </c:pt>
                <c:pt idx="18">
                  <c:v>South Africa</c:v>
                </c:pt>
                <c:pt idx="19">
                  <c:v>Spain</c:v>
                </c:pt>
                <c:pt idx="20">
                  <c:v>Thailand</c:v>
                </c:pt>
                <c:pt idx="21">
                  <c:v>Turkey</c:v>
                </c:pt>
                <c:pt idx="22">
                  <c:v>United Arab Emirates</c:v>
                </c:pt>
                <c:pt idx="23">
                  <c:v>Vietnam</c:v>
                </c:pt>
              </c:strCache>
            </c:strRef>
          </c:cat>
          <c:val>
            <c:numRef>
              <c:f>'Evidence Map'!$B$71:$B$94</c:f>
              <c:numCache>
                <c:formatCode>General</c:formatCode>
                <c:ptCount val="24"/>
                <c:pt idx="0">
                  <c:v>7</c:v>
                </c:pt>
                <c:pt idx="1">
                  <c:v>4</c:v>
                </c:pt>
                <c:pt idx="2">
                  <c:v>4</c:v>
                </c:pt>
                <c:pt idx="3">
                  <c:v>4</c:v>
                </c:pt>
                <c:pt idx="4">
                  <c:v>3</c:v>
                </c:pt>
                <c:pt idx="5">
                  <c:v>2</c:v>
                </c:pt>
                <c:pt idx="6">
                  <c:v>2</c:v>
                </c:pt>
                <c:pt idx="7">
                  <c:v>2</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extLst>
            <c:ext xmlns:c16="http://schemas.microsoft.com/office/drawing/2014/chart" uri="{C3380CC4-5D6E-409C-BE32-E72D297353CC}">
              <c16:uniqueId val="{00000000-E920-4361-A018-28C17C55CCD7}"/>
            </c:ext>
          </c:extLst>
        </c:ser>
        <c:ser>
          <c:idx val="1"/>
          <c:order val="1"/>
          <c:tx>
            <c:strRef>
              <c:f>'Evidence Map'!$C$70</c:f>
              <c:strCache>
                <c:ptCount val="1"/>
                <c:pt idx="0">
                  <c:v>Core set (n = 21)</c:v>
                </c:pt>
              </c:strCache>
            </c:strRef>
          </c:tx>
          <c:spPr>
            <a:solidFill>
              <a:srgbClr val="EB6834"/>
            </a:solidFill>
            <a:ln w="6480">
              <a:solidFill>
                <a:srgbClr val="EB6834"/>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'Evidence Map'!$A$71:$A$94</c:f>
              <c:strCache>
                <c:ptCount val="24"/>
                <c:pt idx="0">
                  <c:v>USA</c:v>
                </c:pt>
                <c:pt idx="1">
                  <c:v>China</c:v>
                </c:pt>
                <c:pt idx="2">
                  <c:v>Indonesia</c:v>
                </c:pt>
                <c:pt idx="3">
                  <c:v>Malaysia</c:v>
                </c:pt>
                <c:pt idx="4">
                  <c:v>India</c:v>
                </c:pt>
                <c:pt idx="5">
                  <c:v>Canada</c:v>
                </c:pt>
                <c:pt idx="6">
                  <c:v>Italy</c:v>
                </c:pt>
                <c:pt idx="7">
                  <c:v>Taiwan</c:v>
                </c:pt>
                <c:pt idx="8">
                  <c:v>Argentina</c:v>
                </c:pt>
                <c:pt idx="9">
                  <c:v>Australia</c:v>
                </c:pt>
                <c:pt idx="10">
                  <c:v>Belgium</c:v>
                </c:pt>
                <c:pt idx="11">
                  <c:v>Colombia</c:v>
                </c:pt>
                <c:pt idx="12">
                  <c:v>France</c:v>
                </c:pt>
                <c:pt idx="13">
                  <c:v>Kazakhstan</c:v>
                </c:pt>
                <c:pt idx="14">
                  <c:v>Mexico</c:v>
                </c:pt>
                <c:pt idx="15">
                  <c:v>Norway</c:v>
                </c:pt>
                <c:pt idx="16">
                  <c:v>Poland</c:v>
                </c:pt>
                <c:pt idx="17">
                  <c:v>Romania</c:v>
                </c:pt>
                <c:pt idx="18">
                  <c:v>South Africa</c:v>
                </c:pt>
                <c:pt idx="19">
                  <c:v>Spain</c:v>
                </c:pt>
                <c:pt idx="20">
                  <c:v>Thailand</c:v>
                </c:pt>
                <c:pt idx="21">
                  <c:v>Turkey</c:v>
                </c:pt>
                <c:pt idx="22">
                  <c:v>United Arab Emirates</c:v>
                </c:pt>
                <c:pt idx="23">
                  <c:v>Vietnam</c:v>
                </c:pt>
              </c:strCache>
            </c:strRef>
          </c:cat>
          <c:val>
            <c:numRef>
              <c:f>'Evidence Map'!$C$71:$C$94</c:f>
              <c:numCache>
                <c:formatCode>General</c:formatCode>
                <c:ptCount val="24"/>
                <c:pt idx="0">
                  <c:v>3</c:v>
                </c:pt>
                <c:pt idx="1">
                  <c:v>1</c:v>
                </c:pt>
                <c:pt idx="2">
                  <c:v>3</c:v>
                </c:pt>
                <c:pt idx="3">
                  <c:v>2</c:v>
                </c:pt>
                <c:pt idx="4">
                  <c:v>1</c:v>
                </c:pt>
                <c:pt idx="5">
                  <c:v>0</c:v>
                </c:pt>
                <c:pt idx="6">
                  <c:v>1</c:v>
                </c:pt>
                <c:pt idx="7">
                  <c:v>2</c:v>
                </c:pt>
                <c:pt idx="8">
                  <c:v>1</c:v>
                </c:pt>
                <c:pt idx="9">
                  <c:v>1</c:v>
                </c:pt>
                <c:pt idx="10">
                  <c:v>0</c:v>
                </c:pt>
                <c:pt idx="11">
                  <c:v>0</c:v>
                </c:pt>
                <c:pt idx="12">
                  <c:v>1</c:v>
                </c:pt>
                <c:pt idx="13">
                  <c:v>1</c:v>
                </c:pt>
                <c:pt idx="14">
                  <c:v>1</c:v>
                </c:pt>
                <c:pt idx="15">
                  <c:v>0</c:v>
                </c:pt>
                <c:pt idx="16">
                  <c:v>0</c:v>
                </c:pt>
                <c:pt idx="17">
                  <c:v>0</c:v>
                </c:pt>
                <c:pt idx="18">
                  <c:v>1</c:v>
                </c:pt>
                <c:pt idx="19">
                  <c:v>1</c:v>
                </c:pt>
                <c:pt idx="20">
                  <c:v>0</c:v>
                </c:pt>
                <c:pt idx="21">
                  <c:v>0</c:v>
                </c:pt>
                <c:pt idx="22">
                  <c:v>1</c:v>
                </c:pt>
                <c:pt idx="23">
                  <c:v>0</c:v>
                </c:pt>
              </c:numCache>
            </c:numRef>
          </c:val>
          <c:extLst>
            <c:ext xmlns:c16="http://schemas.microsoft.com/office/drawing/2014/chart" uri="{C3380CC4-5D6E-409C-BE32-E72D297353CC}">
              <c16:uniqueId val="{00000001-E920-4361-A018-28C17C55CCD7}"/>
            </c:ext>
          </c:extLst>
        </c:ser>
        <c:dLbls>
          <c:showLegendKey val="0"/>
          <c:showVal val="0"/>
          <c:showCatName val="0"/>
          <c:showSerName val="0"/>
          <c:showPercent val="0"/>
          <c:showBubbleSize val="0"/>
        </c:dLbls>
        <c:gapWidth val="60"/>
        <c:axId val="32727004"/>
        <c:axId val="775626"/>
      </c:barChart>
      <c:catAx>
        <c:axId val="32727004"/>
        <c:scaling>
          <c:orientation val="maxMin"/>
        </c:scaling>
        <c:delete val="0"/>
        <c:axPos val="l"/>
        <c:numFmt formatCode="General"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775626"/>
        <c:crosses val="autoZero"/>
        <c:auto val="1"/>
        <c:lblAlgn val="ctr"/>
        <c:lblOffset val="100"/>
        <c:noMultiLvlLbl val="0"/>
      </c:catAx>
      <c:valAx>
        <c:axId val="775626"/>
        <c:scaling>
          <c:orientation val="minMax"/>
        </c:scaling>
        <c:delete val="0"/>
        <c:axPos val="t"/>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Number of studies</a:t>
                </a:r>
              </a:p>
            </c:rich>
          </c:tx>
          <c:overlay val="0"/>
          <c:spPr>
            <a:noFill/>
            <a:ln w="0">
              <a:noFill/>
            </a:ln>
          </c:spPr>
        </c:title>
        <c:numFmt formatCode="General"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32727004"/>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Figure 6. RQ5/RQ6 – Studies by device category</a:t>
            </a:r>
          </a:p>
        </c:rich>
      </c:tx>
      <c:overlay val="0"/>
      <c:spPr>
        <a:noFill/>
        <a:ln w="0">
          <a:noFill/>
        </a:ln>
      </c:spPr>
    </c:title>
    <c:autoTitleDeleted val="0"/>
    <c:plotArea>
      <c:layout/>
      <c:barChart>
        <c:barDir val="bar"/>
        <c:grouping val="clustered"/>
        <c:varyColors val="0"/>
        <c:ser>
          <c:idx val="0"/>
          <c:order val="0"/>
          <c:tx>
            <c:strRef>
              <c:f>'Evidence Map'!$B$128</c:f>
              <c:strCache>
                <c:ptCount val="1"/>
                <c:pt idx="0">
                  <c:v>Mapping corpus (n = 44)</c:v>
                </c:pt>
              </c:strCache>
            </c:strRef>
          </c:tx>
          <c:spPr>
            <a:solidFill>
              <a:srgbClr val="2A78D6"/>
            </a:solidFill>
            <a:ln w="6480">
              <a:solidFill>
                <a:srgbClr val="2A78D6"/>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'Evidence Map'!$A$129:$A$135</c:f>
              <c:strCache>
                <c:ptCount val="7"/>
                <c:pt idx="0">
                  <c:v>HMD (immersive)</c:v>
                </c:pt>
                <c:pt idx="1">
                  <c:v>Handheld (mobile/tablet)</c:v>
                </c:pt>
                <c:pt idx="2">
                  <c:v>Desktop</c:v>
                </c:pt>
                <c:pt idx="3">
                  <c:v>CAVE / projection</c:v>
                </c:pt>
                <c:pt idx="4">
                  <c:v>Web-based</c:v>
                </c:pt>
                <c:pt idx="5">
                  <c:v>None (mock-up)</c:v>
                </c:pt>
                <c:pt idx="6">
                  <c:v>Not reported</c:v>
                </c:pt>
              </c:strCache>
            </c:strRef>
          </c:cat>
          <c:val>
            <c:numRef>
              <c:f>'Evidence Map'!$B$129:$B$135</c:f>
              <c:numCache>
                <c:formatCode>General</c:formatCode>
                <c:ptCount val="7"/>
                <c:pt idx="0">
                  <c:v>24</c:v>
                </c:pt>
                <c:pt idx="1">
                  <c:v>4</c:v>
                </c:pt>
                <c:pt idx="2">
                  <c:v>7</c:v>
                </c:pt>
                <c:pt idx="3">
                  <c:v>3</c:v>
                </c:pt>
                <c:pt idx="4">
                  <c:v>2</c:v>
                </c:pt>
                <c:pt idx="5">
                  <c:v>1</c:v>
                </c:pt>
                <c:pt idx="6">
                  <c:v>3</c:v>
                </c:pt>
              </c:numCache>
            </c:numRef>
          </c:val>
          <c:extLst>
            <c:ext xmlns:c16="http://schemas.microsoft.com/office/drawing/2014/chart" uri="{C3380CC4-5D6E-409C-BE32-E72D297353CC}">
              <c16:uniqueId val="{00000000-A4E0-4232-9552-34C21327B2AB}"/>
            </c:ext>
          </c:extLst>
        </c:ser>
        <c:ser>
          <c:idx val="1"/>
          <c:order val="1"/>
          <c:tx>
            <c:strRef>
              <c:f>'Evidence Map'!$C$128</c:f>
              <c:strCache>
                <c:ptCount val="1"/>
                <c:pt idx="0">
                  <c:v>Core set (n = 21)</c:v>
                </c:pt>
              </c:strCache>
            </c:strRef>
          </c:tx>
          <c:spPr>
            <a:solidFill>
              <a:srgbClr val="EB6834"/>
            </a:solidFill>
            <a:ln w="6480">
              <a:solidFill>
                <a:srgbClr val="EB6834"/>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'Evidence Map'!$A$129:$A$135</c:f>
              <c:strCache>
                <c:ptCount val="7"/>
                <c:pt idx="0">
                  <c:v>HMD (immersive)</c:v>
                </c:pt>
                <c:pt idx="1">
                  <c:v>Handheld (mobile/tablet)</c:v>
                </c:pt>
                <c:pt idx="2">
                  <c:v>Desktop</c:v>
                </c:pt>
                <c:pt idx="3">
                  <c:v>CAVE / projection</c:v>
                </c:pt>
                <c:pt idx="4">
                  <c:v>Web-based</c:v>
                </c:pt>
                <c:pt idx="5">
                  <c:v>None (mock-up)</c:v>
                </c:pt>
                <c:pt idx="6">
                  <c:v>Not reported</c:v>
                </c:pt>
              </c:strCache>
            </c:strRef>
          </c:cat>
          <c:val>
            <c:numRef>
              <c:f>'Evidence Map'!$C$129:$C$135</c:f>
              <c:numCache>
                <c:formatCode>General</c:formatCode>
                <c:ptCount val="7"/>
                <c:pt idx="0">
                  <c:v>10</c:v>
                </c:pt>
                <c:pt idx="1">
                  <c:v>2</c:v>
                </c:pt>
                <c:pt idx="2">
                  <c:v>4</c:v>
                </c:pt>
                <c:pt idx="3">
                  <c:v>2</c:v>
                </c:pt>
                <c:pt idx="4">
                  <c:v>0</c:v>
                </c:pt>
                <c:pt idx="5">
                  <c:v>0</c:v>
                </c:pt>
                <c:pt idx="6">
                  <c:v>3</c:v>
                </c:pt>
              </c:numCache>
            </c:numRef>
          </c:val>
          <c:extLst>
            <c:ext xmlns:c16="http://schemas.microsoft.com/office/drawing/2014/chart" uri="{C3380CC4-5D6E-409C-BE32-E72D297353CC}">
              <c16:uniqueId val="{00000001-A4E0-4232-9552-34C21327B2AB}"/>
            </c:ext>
          </c:extLst>
        </c:ser>
        <c:dLbls>
          <c:showLegendKey val="0"/>
          <c:showVal val="0"/>
          <c:showCatName val="0"/>
          <c:showSerName val="0"/>
          <c:showPercent val="0"/>
          <c:showBubbleSize val="0"/>
        </c:dLbls>
        <c:gapWidth val="60"/>
        <c:axId val="80329916"/>
        <c:axId val="53791943"/>
      </c:barChart>
      <c:catAx>
        <c:axId val="80329916"/>
        <c:scaling>
          <c:orientation val="maxMin"/>
        </c:scaling>
        <c:delete val="0"/>
        <c:axPos val="l"/>
        <c:numFmt formatCode="General"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53791943"/>
        <c:crosses val="autoZero"/>
        <c:auto val="1"/>
        <c:lblAlgn val="ctr"/>
        <c:lblOffset val="100"/>
        <c:noMultiLvlLbl val="0"/>
      </c:catAx>
      <c:valAx>
        <c:axId val="53791943"/>
        <c:scaling>
          <c:orientation val="minMax"/>
        </c:scaling>
        <c:delete val="0"/>
        <c:axPos val="t"/>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Number of studies</a:t>
                </a:r>
              </a:p>
            </c:rich>
          </c:tx>
          <c:overlay val="0"/>
          <c:spPr>
            <a:noFill/>
            <a:ln w="0">
              <a:noFill/>
            </a:ln>
          </c:spPr>
        </c:title>
        <c:numFmt formatCode="General"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80329916"/>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Figure 7. Publication year (mapping context)</a:t>
            </a:r>
          </a:p>
        </c:rich>
      </c:tx>
      <c:overlay val="0"/>
      <c:spPr>
        <a:noFill/>
        <a:ln w="0">
          <a:noFill/>
        </a:ln>
      </c:spPr>
    </c:title>
    <c:autoTitleDeleted val="0"/>
    <c:plotArea>
      <c:layout/>
      <c:barChart>
        <c:barDir val="col"/>
        <c:grouping val="clustered"/>
        <c:varyColors val="0"/>
        <c:ser>
          <c:idx val="0"/>
          <c:order val="0"/>
          <c:tx>
            <c:strRef>
              <c:f>'Evidence Map'!$B$160</c:f>
              <c:strCache>
                <c:ptCount val="1"/>
                <c:pt idx="0">
                  <c:v>Mapping corpus (n = 44)</c:v>
                </c:pt>
              </c:strCache>
            </c:strRef>
          </c:tx>
          <c:spPr>
            <a:solidFill>
              <a:srgbClr val="2A78D6"/>
            </a:solidFill>
            <a:ln w="6480">
              <a:solidFill>
                <a:srgbClr val="2A78D6"/>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'Evidence Map'!$A$161:$A$170</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'Evidence Map'!$B$161:$B$170</c:f>
              <c:numCache>
                <c:formatCode>General</c:formatCode>
                <c:ptCount val="10"/>
                <c:pt idx="0">
                  <c:v>1</c:v>
                </c:pt>
                <c:pt idx="1">
                  <c:v>0</c:v>
                </c:pt>
                <c:pt idx="2">
                  <c:v>2</c:v>
                </c:pt>
                <c:pt idx="3">
                  <c:v>2</c:v>
                </c:pt>
                <c:pt idx="4">
                  <c:v>5</c:v>
                </c:pt>
                <c:pt idx="5">
                  <c:v>4</c:v>
                </c:pt>
                <c:pt idx="6">
                  <c:v>5</c:v>
                </c:pt>
                <c:pt idx="7">
                  <c:v>6</c:v>
                </c:pt>
                <c:pt idx="8">
                  <c:v>9</c:v>
                </c:pt>
                <c:pt idx="9">
                  <c:v>10</c:v>
                </c:pt>
              </c:numCache>
            </c:numRef>
          </c:val>
          <c:extLst>
            <c:ext xmlns:c16="http://schemas.microsoft.com/office/drawing/2014/chart" uri="{C3380CC4-5D6E-409C-BE32-E72D297353CC}">
              <c16:uniqueId val="{00000000-A5A7-4A20-BEFA-348EBC4DE16E}"/>
            </c:ext>
          </c:extLst>
        </c:ser>
        <c:ser>
          <c:idx val="1"/>
          <c:order val="1"/>
          <c:tx>
            <c:strRef>
              <c:f>'Evidence Map'!$C$160</c:f>
              <c:strCache>
                <c:ptCount val="1"/>
                <c:pt idx="0">
                  <c:v>Core set (n = 21)</c:v>
                </c:pt>
              </c:strCache>
            </c:strRef>
          </c:tx>
          <c:spPr>
            <a:solidFill>
              <a:srgbClr val="EB6834"/>
            </a:solidFill>
            <a:ln w="6480">
              <a:solidFill>
                <a:srgbClr val="EB6834"/>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'Evidence Map'!$A$161:$A$170</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'Evidence Map'!$C$161:$C$170</c:f>
              <c:numCache>
                <c:formatCode>General</c:formatCode>
                <c:ptCount val="10"/>
                <c:pt idx="0">
                  <c:v>1</c:v>
                </c:pt>
                <c:pt idx="1">
                  <c:v>0</c:v>
                </c:pt>
                <c:pt idx="2">
                  <c:v>1</c:v>
                </c:pt>
                <c:pt idx="3">
                  <c:v>2</c:v>
                </c:pt>
                <c:pt idx="4">
                  <c:v>1</c:v>
                </c:pt>
                <c:pt idx="5">
                  <c:v>2</c:v>
                </c:pt>
                <c:pt idx="6">
                  <c:v>2</c:v>
                </c:pt>
                <c:pt idx="7">
                  <c:v>2</c:v>
                </c:pt>
                <c:pt idx="8">
                  <c:v>6</c:v>
                </c:pt>
                <c:pt idx="9">
                  <c:v>4</c:v>
                </c:pt>
              </c:numCache>
            </c:numRef>
          </c:val>
          <c:extLst>
            <c:ext xmlns:c16="http://schemas.microsoft.com/office/drawing/2014/chart" uri="{C3380CC4-5D6E-409C-BE32-E72D297353CC}">
              <c16:uniqueId val="{00000001-A5A7-4A20-BEFA-348EBC4DE16E}"/>
            </c:ext>
          </c:extLst>
        </c:ser>
        <c:dLbls>
          <c:showLegendKey val="0"/>
          <c:showVal val="0"/>
          <c:showCatName val="0"/>
          <c:showSerName val="0"/>
          <c:showPercent val="0"/>
          <c:showBubbleSize val="0"/>
        </c:dLbls>
        <c:gapWidth val="60"/>
        <c:axId val="89915709"/>
        <c:axId val="25273684"/>
      </c:barChart>
      <c:catAx>
        <c:axId val="89915709"/>
        <c:scaling>
          <c:orientation val="minMax"/>
        </c:scaling>
        <c:delete val="0"/>
        <c:axPos val="b"/>
        <c:numFmt formatCode="General"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25273684"/>
        <c:crosses val="autoZero"/>
        <c:auto val="1"/>
        <c:lblAlgn val="ctr"/>
        <c:lblOffset val="100"/>
        <c:noMultiLvlLbl val="0"/>
      </c:catAx>
      <c:valAx>
        <c:axId val="25273684"/>
        <c:scaling>
          <c:orientation val="minMax"/>
        </c:scaling>
        <c:delete val="0"/>
        <c:axPos val="l"/>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Number of studies</a:t>
                </a:r>
              </a:p>
            </c:rich>
          </c:tx>
          <c:overlay val="0"/>
          <c:spPr>
            <a:noFill/>
            <a:ln w="0">
              <a:noFill/>
            </a:ln>
          </c:spPr>
        </c:title>
        <c:numFmt formatCode="General"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89915709"/>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Figure 8. RQ6 – Direction of effects, Core set</a:t>
            </a:r>
          </a:p>
        </c:rich>
      </c:tx>
      <c:overlay val="0"/>
      <c:spPr>
        <a:noFill/>
        <a:ln w="0">
          <a:noFill/>
        </a:ln>
      </c:spPr>
    </c:title>
    <c:autoTitleDeleted val="0"/>
    <c:plotArea>
      <c:layout/>
      <c:barChart>
        <c:barDir val="bar"/>
        <c:grouping val="stacked"/>
        <c:varyColors val="0"/>
        <c:ser>
          <c:idx val="0"/>
          <c:order val="0"/>
          <c:tx>
            <c:strRef>
              <c:f>'Evidence Map'!$B$18</c:f>
              <c:strCache>
                <c:ptCount val="1"/>
                <c:pt idx="0">
                  <c:v>+</c:v>
                </c:pt>
              </c:strCache>
            </c:strRef>
          </c:tx>
          <c:spPr>
            <a:solidFill>
              <a:srgbClr val="2A78D6"/>
            </a:solidFill>
            <a:ln w="6480">
              <a:solidFill>
                <a:srgbClr val="2A78D6"/>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'Evidence Map'!$A$19:$A$21</c:f>
              <c:strCache>
                <c:ptCount val="3"/>
                <c:pt idx="0">
                  <c:v>Engagement</c:v>
                </c:pt>
                <c:pt idx="1">
                  <c:v>Motivation</c:v>
                </c:pt>
                <c:pt idx="2">
                  <c:v>Satisfaction</c:v>
                </c:pt>
              </c:strCache>
            </c:strRef>
          </c:cat>
          <c:val>
            <c:numRef>
              <c:f>'Evidence Map'!$B$19:$B$21</c:f>
              <c:numCache>
                <c:formatCode>General</c:formatCode>
                <c:ptCount val="3"/>
                <c:pt idx="0">
                  <c:v>7</c:v>
                </c:pt>
                <c:pt idx="1">
                  <c:v>15</c:v>
                </c:pt>
                <c:pt idx="2">
                  <c:v>13</c:v>
                </c:pt>
              </c:numCache>
            </c:numRef>
          </c:val>
          <c:extLst>
            <c:ext xmlns:c16="http://schemas.microsoft.com/office/drawing/2014/chart" uri="{C3380CC4-5D6E-409C-BE32-E72D297353CC}">
              <c16:uniqueId val="{00000000-C547-4285-9A53-4E4A63E7348C}"/>
            </c:ext>
          </c:extLst>
        </c:ser>
        <c:ser>
          <c:idx val="1"/>
          <c:order val="1"/>
          <c:tx>
            <c:strRef>
              <c:f>'Evidence Map'!$C$18</c:f>
              <c:strCache>
                <c:ptCount val="1"/>
                <c:pt idx="0">
                  <c:v>Mixed</c:v>
                </c:pt>
              </c:strCache>
            </c:strRef>
          </c:tx>
          <c:spPr>
            <a:solidFill>
              <a:srgbClr val="EDA100"/>
            </a:solidFill>
            <a:ln w="6480">
              <a:solidFill>
                <a:srgbClr val="EDA100"/>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'Evidence Map'!$A$19:$A$21</c:f>
              <c:strCache>
                <c:ptCount val="3"/>
                <c:pt idx="0">
                  <c:v>Engagement</c:v>
                </c:pt>
                <c:pt idx="1">
                  <c:v>Motivation</c:v>
                </c:pt>
                <c:pt idx="2">
                  <c:v>Satisfaction</c:v>
                </c:pt>
              </c:strCache>
            </c:strRef>
          </c:cat>
          <c:val>
            <c:numRef>
              <c:f>'Evidence Map'!$C$19:$C$21</c:f>
              <c:numCache>
                <c:formatCode>General</c:formatCode>
                <c:ptCount val="3"/>
                <c:pt idx="0">
                  <c:v>1</c:v>
                </c:pt>
                <c:pt idx="1">
                  <c:v>0</c:v>
                </c:pt>
                <c:pt idx="2">
                  <c:v>0</c:v>
                </c:pt>
              </c:numCache>
            </c:numRef>
          </c:val>
          <c:extLst>
            <c:ext xmlns:c16="http://schemas.microsoft.com/office/drawing/2014/chart" uri="{C3380CC4-5D6E-409C-BE32-E72D297353CC}">
              <c16:uniqueId val="{00000001-C547-4285-9A53-4E4A63E7348C}"/>
            </c:ext>
          </c:extLst>
        </c:ser>
        <c:ser>
          <c:idx val="2"/>
          <c:order val="2"/>
          <c:tx>
            <c:strRef>
              <c:f>'Evidence Map'!$D$18</c:f>
              <c:strCache>
                <c:ptCount val="1"/>
                <c:pt idx="0">
                  <c:v>Unclear</c:v>
                </c:pt>
              </c:strCache>
            </c:strRef>
          </c:tx>
          <c:spPr>
            <a:solidFill>
              <a:srgbClr val="A6A6A6"/>
            </a:solidFill>
            <a:ln w="6480">
              <a:solidFill>
                <a:srgbClr val="A6A6A6"/>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'Evidence Map'!$A$19:$A$21</c:f>
              <c:strCache>
                <c:ptCount val="3"/>
                <c:pt idx="0">
                  <c:v>Engagement</c:v>
                </c:pt>
                <c:pt idx="1">
                  <c:v>Motivation</c:v>
                </c:pt>
                <c:pt idx="2">
                  <c:v>Satisfaction</c:v>
                </c:pt>
              </c:strCache>
            </c:strRef>
          </c:cat>
          <c:val>
            <c:numRef>
              <c:f>'Evidence Map'!$D$19:$D$21</c:f>
              <c:numCache>
                <c:formatCode>General</c:formatCode>
                <c:ptCount val="3"/>
                <c:pt idx="0">
                  <c:v>1</c:v>
                </c:pt>
                <c:pt idx="1">
                  <c:v>0</c:v>
                </c:pt>
                <c:pt idx="2">
                  <c:v>1</c:v>
                </c:pt>
              </c:numCache>
            </c:numRef>
          </c:val>
          <c:extLst>
            <c:ext xmlns:c16="http://schemas.microsoft.com/office/drawing/2014/chart" uri="{C3380CC4-5D6E-409C-BE32-E72D297353CC}">
              <c16:uniqueId val="{00000002-C547-4285-9A53-4E4A63E7348C}"/>
            </c:ext>
          </c:extLst>
        </c:ser>
        <c:ser>
          <c:idx val="3"/>
          <c:order val="3"/>
          <c:tx>
            <c:strRef>
              <c:f>'Evidence Map'!$E$18</c:f>
              <c:strCache>
                <c:ptCount val="1"/>
                <c:pt idx="0">
                  <c:v>0</c:v>
                </c:pt>
              </c:strCache>
            </c:strRef>
          </c:tx>
          <c:spPr>
            <a:solidFill>
              <a:srgbClr val="52514E"/>
            </a:solidFill>
            <a:ln w="6480">
              <a:solidFill>
                <a:srgbClr val="52514E"/>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'Evidence Map'!$A$19:$A$21</c:f>
              <c:strCache>
                <c:ptCount val="3"/>
                <c:pt idx="0">
                  <c:v>Engagement</c:v>
                </c:pt>
                <c:pt idx="1">
                  <c:v>Motivation</c:v>
                </c:pt>
                <c:pt idx="2">
                  <c:v>Satisfaction</c:v>
                </c:pt>
              </c:strCache>
            </c:strRef>
          </c:cat>
          <c:val>
            <c:numRef>
              <c:f>'Evidence Map'!$E$19:$E$21</c:f>
              <c:numCache>
                <c:formatCode>General</c:formatCode>
                <c:ptCount val="3"/>
                <c:pt idx="0">
                  <c:v>0</c:v>
                </c:pt>
                <c:pt idx="1">
                  <c:v>0</c:v>
                </c:pt>
                <c:pt idx="2">
                  <c:v>0</c:v>
                </c:pt>
              </c:numCache>
            </c:numRef>
          </c:val>
          <c:extLst>
            <c:ext xmlns:c16="http://schemas.microsoft.com/office/drawing/2014/chart" uri="{C3380CC4-5D6E-409C-BE32-E72D297353CC}">
              <c16:uniqueId val="{00000003-C547-4285-9A53-4E4A63E7348C}"/>
            </c:ext>
          </c:extLst>
        </c:ser>
        <c:ser>
          <c:idx val="4"/>
          <c:order val="4"/>
          <c:tx>
            <c:strRef>
              <c:f>'Evidence Map'!$F$18</c:f>
              <c:strCache>
                <c:ptCount val="1"/>
                <c:pt idx="0">
                  <c:v>−</c:v>
                </c:pt>
              </c:strCache>
            </c:strRef>
          </c:tx>
          <c:spPr>
            <a:solidFill>
              <a:srgbClr val="E34948"/>
            </a:solidFill>
            <a:ln w="6480">
              <a:solidFill>
                <a:srgbClr val="E34948"/>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'Evidence Map'!$A$19:$A$21</c:f>
              <c:strCache>
                <c:ptCount val="3"/>
                <c:pt idx="0">
                  <c:v>Engagement</c:v>
                </c:pt>
                <c:pt idx="1">
                  <c:v>Motivation</c:v>
                </c:pt>
                <c:pt idx="2">
                  <c:v>Satisfaction</c:v>
                </c:pt>
              </c:strCache>
            </c:strRef>
          </c:cat>
          <c:val>
            <c:numRef>
              <c:f>'Evidence Map'!$F$19:$F$21</c:f>
              <c:numCache>
                <c:formatCode>General</c:formatCode>
                <c:ptCount val="3"/>
                <c:pt idx="0">
                  <c:v>0</c:v>
                </c:pt>
                <c:pt idx="1">
                  <c:v>0</c:v>
                </c:pt>
                <c:pt idx="2">
                  <c:v>0</c:v>
                </c:pt>
              </c:numCache>
            </c:numRef>
          </c:val>
          <c:extLst>
            <c:ext xmlns:c16="http://schemas.microsoft.com/office/drawing/2014/chart" uri="{C3380CC4-5D6E-409C-BE32-E72D297353CC}">
              <c16:uniqueId val="{00000004-C547-4285-9A53-4E4A63E7348C}"/>
            </c:ext>
          </c:extLst>
        </c:ser>
        <c:dLbls>
          <c:showLegendKey val="0"/>
          <c:showVal val="0"/>
          <c:showCatName val="0"/>
          <c:showSerName val="0"/>
          <c:showPercent val="0"/>
          <c:showBubbleSize val="0"/>
        </c:dLbls>
        <c:gapWidth val="150"/>
        <c:overlap val="100"/>
        <c:axId val="42931964"/>
        <c:axId val="50296590"/>
      </c:barChart>
      <c:catAx>
        <c:axId val="42931964"/>
        <c:scaling>
          <c:orientation val="maxMin"/>
        </c:scaling>
        <c:delete val="0"/>
        <c:axPos val="l"/>
        <c:numFmt formatCode="General"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50296590"/>
        <c:crosses val="autoZero"/>
        <c:auto val="1"/>
        <c:lblAlgn val="ctr"/>
        <c:lblOffset val="100"/>
        <c:noMultiLvlLbl val="0"/>
      </c:catAx>
      <c:valAx>
        <c:axId val="50296590"/>
        <c:scaling>
          <c:orientation val="minMax"/>
        </c:scaling>
        <c:delete val="0"/>
        <c:axPos val="t"/>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Number of studies</a:t>
                </a:r>
              </a:p>
            </c:rich>
          </c:tx>
          <c:overlay val="0"/>
          <c:spPr>
            <a:noFill/>
            <a:ln w="0">
              <a:noFill/>
            </a:ln>
          </c:spPr>
        </c:title>
        <c:numFmt formatCode="General"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42931964"/>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Figure 9. RQ6 – Direction of effects, all empirical studies</a:t>
            </a:r>
          </a:p>
        </c:rich>
      </c:tx>
      <c:overlay val="0"/>
      <c:spPr>
        <a:noFill/>
        <a:ln w="0">
          <a:noFill/>
        </a:ln>
      </c:spPr>
    </c:title>
    <c:autoTitleDeleted val="0"/>
    <c:plotArea>
      <c:layout/>
      <c:barChart>
        <c:barDir val="bar"/>
        <c:grouping val="stacked"/>
        <c:varyColors val="0"/>
        <c:ser>
          <c:idx val="0"/>
          <c:order val="0"/>
          <c:tx>
            <c:strRef>
              <c:f>'Evidence Map'!$B$24</c:f>
              <c:strCache>
                <c:ptCount val="1"/>
                <c:pt idx="0">
                  <c:v>+</c:v>
                </c:pt>
              </c:strCache>
            </c:strRef>
          </c:tx>
          <c:spPr>
            <a:solidFill>
              <a:srgbClr val="2A78D6"/>
            </a:solidFill>
            <a:ln w="6480">
              <a:solidFill>
                <a:srgbClr val="2A78D6"/>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'Evidence Map'!$A$25:$A$27</c:f>
              <c:strCache>
                <c:ptCount val="3"/>
                <c:pt idx="0">
                  <c:v>Engagement</c:v>
                </c:pt>
                <c:pt idx="1">
                  <c:v>Motivation</c:v>
                </c:pt>
                <c:pt idx="2">
                  <c:v>Satisfaction</c:v>
                </c:pt>
              </c:strCache>
            </c:strRef>
          </c:cat>
          <c:val>
            <c:numRef>
              <c:f>'Evidence Map'!$B$25:$B$27</c:f>
              <c:numCache>
                <c:formatCode>General</c:formatCode>
                <c:ptCount val="3"/>
                <c:pt idx="0">
                  <c:v>11</c:v>
                </c:pt>
                <c:pt idx="1">
                  <c:v>22</c:v>
                </c:pt>
                <c:pt idx="2">
                  <c:v>21</c:v>
                </c:pt>
              </c:numCache>
            </c:numRef>
          </c:val>
          <c:extLst>
            <c:ext xmlns:c16="http://schemas.microsoft.com/office/drawing/2014/chart" uri="{C3380CC4-5D6E-409C-BE32-E72D297353CC}">
              <c16:uniqueId val="{00000000-DFA5-417B-86D9-C4B49743B6EC}"/>
            </c:ext>
          </c:extLst>
        </c:ser>
        <c:ser>
          <c:idx val="1"/>
          <c:order val="1"/>
          <c:tx>
            <c:strRef>
              <c:f>'Evidence Map'!$C$24</c:f>
              <c:strCache>
                <c:ptCount val="1"/>
                <c:pt idx="0">
                  <c:v>Mixed</c:v>
                </c:pt>
              </c:strCache>
            </c:strRef>
          </c:tx>
          <c:spPr>
            <a:solidFill>
              <a:srgbClr val="EDA100"/>
            </a:solidFill>
            <a:ln w="6480">
              <a:solidFill>
                <a:srgbClr val="EDA100"/>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'Evidence Map'!$A$25:$A$27</c:f>
              <c:strCache>
                <c:ptCount val="3"/>
                <c:pt idx="0">
                  <c:v>Engagement</c:v>
                </c:pt>
                <c:pt idx="1">
                  <c:v>Motivation</c:v>
                </c:pt>
                <c:pt idx="2">
                  <c:v>Satisfaction</c:v>
                </c:pt>
              </c:strCache>
            </c:strRef>
          </c:cat>
          <c:val>
            <c:numRef>
              <c:f>'Evidence Map'!$C$25:$C$27</c:f>
              <c:numCache>
                <c:formatCode>General</c:formatCode>
                <c:ptCount val="3"/>
                <c:pt idx="0">
                  <c:v>1</c:v>
                </c:pt>
                <c:pt idx="1">
                  <c:v>1</c:v>
                </c:pt>
                <c:pt idx="2">
                  <c:v>0</c:v>
                </c:pt>
              </c:numCache>
            </c:numRef>
          </c:val>
          <c:extLst>
            <c:ext xmlns:c16="http://schemas.microsoft.com/office/drawing/2014/chart" uri="{C3380CC4-5D6E-409C-BE32-E72D297353CC}">
              <c16:uniqueId val="{00000001-DFA5-417B-86D9-C4B49743B6EC}"/>
            </c:ext>
          </c:extLst>
        </c:ser>
        <c:ser>
          <c:idx val="2"/>
          <c:order val="2"/>
          <c:tx>
            <c:strRef>
              <c:f>'Evidence Map'!$D$24</c:f>
              <c:strCache>
                <c:ptCount val="1"/>
                <c:pt idx="0">
                  <c:v>Unclear</c:v>
                </c:pt>
              </c:strCache>
            </c:strRef>
          </c:tx>
          <c:spPr>
            <a:solidFill>
              <a:srgbClr val="A6A6A6"/>
            </a:solidFill>
            <a:ln w="6480">
              <a:solidFill>
                <a:srgbClr val="A6A6A6"/>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'Evidence Map'!$A$25:$A$27</c:f>
              <c:strCache>
                <c:ptCount val="3"/>
                <c:pt idx="0">
                  <c:v>Engagement</c:v>
                </c:pt>
                <c:pt idx="1">
                  <c:v>Motivation</c:v>
                </c:pt>
                <c:pt idx="2">
                  <c:v>Satisfaction</c:v>
                </c:pt>
              </c:strCache>
            </c:strRef>
          </c:cat>
          <c:val>
            <c:numRef>
              <c:f>'Evidence Map'!$D$25:$D$27</c:f>
              <c:numCache>
                <c:formatCode>General</c:formatCode>
                <c:ptCount val="3"/>
                <c:pt idx="0">
                  <c:v>1</c:v>
                </c:pt>
                <c:pt idx="1">
                  <c:v>1</c:v>
                </c:pt>
                <c:pt idx="2">
                  <c:v>1</c:v>
                </c:pt>
              </c:numCache>
            </c:numRef>
          </c:val>
          <c:extLst>
            <c:ext xmlns:c16="http://schemas.microsoft.com/office/drawing/2014/chart" uri="{C3380CC4-5D6E-409C-BE32-E72D297353CC}">
              <c16:uniqueId val="{00000002-DFA5-417B-86D9-C4B49743B6EC}"/>
            </c:ext>
          </c:extLst>
        </c:ser>
        <c:ser>
          <c:idx val="3"/>
          <c:order val="3"/>
          <c:tx>
            <c:strRef>
              <c:f>'Evidence Map'!$E$24</c:f>
              <c:strCache>
                <c:ptCount val="1"/>
                <c:pt idx="0">
                  <c:v>0</c:v>
                </c:pt>
              </c:strCache>
            </c:strRef>
          </c:tx>
          <c:spPr>
            <a:solidFill>
              <a:srgbClr val="52514E"/>
            </a:solidFill>
            <a:ln w="6480">
              <a:solidFill>
                <a:srgbClr val="52514E"/>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'Evidence Map'!$A$25:$A$27</c:f>
              <c:strCache>
                <c:ptCount val="3"/>
                <c:pt idx="0">
                  <c:v>Engagement</c:v>
                </c:pt>
                <c:pt idx="1">
                  <c:v>Motivation</c:v>
                </c:pt>
                <c:pt idx="2">
                  <c:v>Satisfaction</c:v>
                </c:pt>
              </c:strCache>
            </c:strRef>
          </c:cat>
          <c:val>
            <c:numRef>
              <c:f>'Evidence Map'!$E$25:$E$27</c:f>
              <c:numCache>
                <c:formatCode>General</c:formatCode>
                <c:ptCount val="3"/>
                <c:pt idx="0">
                  <c:v>0</c:v>
                </c:pt>
                <c:pt idx="1">
                  <c:v>0</c:v>
                </c:pt>
                <c:pt idx="2">
                  <c:v>0</c:v>
                </c:pt>
              </c:numCache>
            </c:numRef>
          </c:val>
          <c:extLst>
            <c:ext xmlns:c16="http://schemas.microsoft.com/office/drawing/2014/chart" uri="{C3380CC4-5D6E-409C-BE32-E72D297353CC}">
              <c16:uniqueId val="{00000003-DFA5-417B-86D9-C4B49743B6EC}"/>
            </c:ext>
          </c:extLst>
        </c:ser>
        <c:ser>
          <c:idx val="4"/>
          <c:order val="4"/>
          <c:tx>
            <c:strRef>
              <c:f>'Evidence Map'!$F$24</c:f>
              <c:strCache>
                <c:ptCount val="1"/>
                <c:pt idx="0">
                  <c:v>−</c:v>
                </c:pt>
              </c:strCache>
            </c:strRef>
          </c:tx>
          <c:spPr>
            <a:solidFill>
              <a:srgbClr val="E34948"/>
            </a:solidFill>
            <a:ln w="6480">
              <a:solidFill>
                <a:srgbClr val="E34948"/>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'Evidence Map'!$A$25:$A$27</c:f>
              <c:strCache>
                <c:ptCount val="3"/>
                <c:pt idx="0">
                  <c:v>Engagement</c:v>
                </c:pt>
                <c:pt idx="1">
                  <c:v>Motivation</c:v>
                </c:pt>
                <c:pt idx="2">
                  <c:v>Satisfaction</c:v>
                </c:pt>
              </c:strCache>
            </c:strRef>
          </c:cat>
          <c:val>
            <c:numRef>
              <c:f>'Evidence Map'!$F$25:$F$27</c:f>
              <c:numCache>
                <c:formatCode>General</c:formatCode>
                <c:ptCount val="3"/>
                <c:pt idx="0">
                  <c:v>0</c:v>
                </c:pt>
                <c:pt idx="1">
                  <c:v>0</c:v>
                </c:pt>
                <c:pt idx="2">
                  <c:v>0</c:v>
                </c:pt>
              </c:numCache>
            </c:numRef>
          </c:val>
          <c:extLst>
            <c:ext xmlns:c16="http://schemas.microsoft.com/office/drawing/2014/chart" uri="{C3380CC4-5D6E-409C-BE32-E72D297353CC}">
              <c16:uniqueId val="{00000004-DFA5-417B-86D9-C4B49743B6EC}"/>
            </c:ext>
          </c:extLst>
        </c:ser>
        <c:dLbls>
          <c:showLegendKey val="0"/>
          <c:showVal val="0"/>
          <c:showCatName val="0"/>
          <c:showSerName val="0"/>
          <c:showPercent val="0"/>
          <c:showBubbleSize val="0"/>
        </c:dLbls>
        <c:gapWidth val="150"/>
        <c:overlap val="100"/>
        <c:axId val="34550803"/>
        <c:axId val="91271957"/>
      </c:barChart>
      <c:catAx>
        <c:axId val="34550803"/>
        <c:scaling>
          <c:orientation val="maxMin"/>
        </c:scaling>
        <c:delete val="0"/>
        <c:axPos val="l"/>
        <c:numFmt formatCode="General"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91271957"/>
        <c:crosses val="autoZero"/>
        <c:auto val="1"/>
        <c:lblAlgn val="ctr"/>
        <c:lblOffset val="100"/>
        <c:noMultiLvlLbl val="0"/>
      </c:catAx>
      <c:valAx>
        <c:axId val="91271957"/>
        <c:scaling>
          <c:orientation val="minMax"/>
        </c:scaling>
        <c:delete val="0"/>
        <c:axPos val="t"/>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Number of studies</a:t>
                </a:r>
              </a:p>
            </c:rich>
          </c:tx>
          <c:overlay val="0"/>
          <c:spPr>
            <a:noFill/>
            <a:ln w="0">
              <a:noFill/>
            </a:ln>
          </c:spPr>
        </c:title>
        <c:numFmt formatCode="General"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34550803"/>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Figure 10. RQ6 – Positive findings by education level (Core)</a:t>
            </a:r>
          </a:p>
        </c:rich>
      </c:tx>
      <c:overlay val="0"/>
      <c:spPr>
        <a:noFill/>
        <a:ln w="0">
          <a:noFill/>
        </a:ln>
      </c:spPr>
    </c:title>
    <c:autoTitleDeleted val="0"/>
    <c:plotArea>
      <c:layout/>
      <c:barChart>
        <c:barDir val="bar"/>
        <c:grouping val="clustered"/>
        <c:varyColors val="0"/>
        <c:ser>
          <c:idx val="0"/>
          <c:order val="0"/>
          <c:tx>
            <c:strRef>
              <c:f>'Evidence Map'!$C$30</c:f>
              <c:strCache>
                <c:ptCount val="1"/>
                <c:pt idx="0">
                  <c:v>Engagement +</c:v>
                </c:pt>
              </c:strCache>
            </c:strRef>
          </c:tx>
          <c:spPr>
            <a:solidFill>
              <a:srgbClr val="2A78D6"/>
            </a:solidFill>
            <a:ln w="6480">
              <a:solidFill>
                <a:srgbClr val="2A78D6"/>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'Evidence Map'!$A$31:$A$38</c:f>
              <c:strCache>
                <c:ptCount val="8"/>
                <c:pt idx="0">
                  <c:v>Primary</c:v>
                </c:pt>
                <c:pt idx="1">
                  <c:v>Lower secondary</c:v>
                </c:pt>
                <c:pt idx="2">
                  <c:v>Upper secondary</c:v>
                </c:pt>
                <c:pt idx="3">
                  <c:v>Secondary (unspecified)</c:v>
                </c:pt>
                <c:pt idx="4">
                  <c:v>Mixed K-12</c:v>
                </c:pt>
                <c:pt idx="5">
                  <c:v>Mixed (school-age + adults)</c:v>
                </c:pt>
                <c:pt idx="6">
                  <c:v>Mixed (secondary + post-secondary)</c:v>
                </c:pt>
                <c:pt idx="7">
                  <c:v>Not reported</c:v>
                </c:pt>
              </c:strCache>
            </c:strRef>
          </c:cat>
          <c:val>
            <c:numRef>
              <c:f>'Evidence Map'!$C$31:$C$38</c:f>
              <c:numCache>
                <c:formatCode>General</c:formatCode>
                <c:ptCount val="8"/>
                <c:pt idx="0">
                  <c:v>1</c:v>
                </c:pt>
                <c:pt idx="1">
                  <c:v>1</c:v>
                </c:pt>
                <c:pt idx="2">
                  <c:v>0</c:v>
                </c:pt>
                <c:pt idx="3">
                  <c:v>1</c:v>
                </c:pt>
                <c:pt idx="4">
                  <c:v>3</c:v>
                </c:pt>
                <c:pt idx="5">
                  <c:v>0</c:v>
                </c:pt>
                <c:pt idx="6">
                  <c:v>1</c:v>
                </c:pt>
                <c:pt idx="7">
                  <c:v>0</c:v>
                </c:pt>
              </c:numCache>
            </c:numRef>
          </c:val>
          <c:extLst>
            <c:ext xmlns:c16="http://schemas.microsoft.com/office/drawing/2014/chart" uri="{C3380CC4-5D6E-409C-BE32-E72D297353CC}">
              <c16:uniqueId val="{00000000-95D7-4F12-8EBE-17F4FA6BA97A}"/>
            </c:ext>
          </c:extLst>
        </c:ser>
        <c:ser>
          <c:idx val="1"/>
          <c:order val="1"/>
          <c:tx>
            <c:strRef>
              <c:f>'Evidence Map'!$E$30</c:f>
              <c:strCache>
                <c:ptCount val="1"/>
                <c:pt idx="0">
                  <c:v>Motivation +</c:v>
                </c:pt>
              </c:strCache>
            </c:strRef>
          </c:tx>
          <c:spPr>
            <a:solidFill>
              <a:srgbClr val="EB6834"/>
            </a:solidFill>
            <a:ln w="6480">
              <a:solidFill>
                <a:srgbClr val="EB6834"/>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'Evidence Map'!$A$31:$A$38</c:f>
              <c:strCache>
                <c:ptCount val="8"/>
                <c:pt idx="0">
                  <c:v>Primary</c:v>
                </c:pt>
                <c:pt idx="1">
                  <c:v>Lower secondary</c:v>
                </c:pt>
                <c:pt idx="2">
                  <c:v>Upper secondary</c:v>
                </c:pt>
                <c:pt idx="3">
                  <c:v>Secondary (unspecified)</c:v>
                </c:pt>
                <c:pt idx="4">
                  <c:v>Mixed K-12</c:v>
                </c:pt>
                <c:pt idx="5">
                  <c:v>Mixed (school-age + adults)</c:v>
                </c:pt>
                <c:pt idx="6">
                  <c:v>Mixed (secondary + post-secondary)</c:v>
                </c:pt>
                <c:pt idx="7">
                  <c:v>Not reported</c:v>
                </c:pt>
              </c:strCache>
            </c:strRef>
          </c:cat>
          <c:val>
            <c:numRef>
              <c:f>'Evidence Map'!$E$31:$E$38</c:f>
              <c:numCache>
                <c:formatCode>General</c:formatCode>
                <c:ptCount val="8"/>
                <c:pt idx="0">
                  <c:v>4</c:v>
                </c:pt>
                <c:pt idx="1">
                  <c:v>3</c:v>
                </c:pt>
                <c:pt idx="2">
                  <c:v>1</c:v>
                </c:pt>
                <c:pt idx="3">
                  <c:v>2</c:v>
                </c:pt>
                <c:pt idx="4">
                  <c:v>2</c:v>
                </c:pt>
                <c:pt idx="5">
                  <c:v>0</c:v>
                </c:pt>
                <c:pt idx="6">
                  <c:v>2</c:v>
                </c:pt>
                <c:pt idx="7">
                  <c:v>1</c:v>
                </c:pt>
              </c:numCache>
            </c:numRef>
          </c:val>
          <c:extLst>
            <c:ext xmlns:c16="http://schemas.microsoft.com/office/drawing/2014/chart" uri="{C3380CC4-5D6E-409C-BE32-E72D297353CC}">
              <c16:uniqueId val="{00000001-95D7-4F12-8EBE-17F4FA6BA97A}"/>
            </c:ext>
          </c:extLst>
        </c:ser>
        <c:ser>
          <c:idx val="2"/>
          <c:order val="2"/>
          <c:tx>
            <c:strRef>
              <c:f>'Evidence Map'!$G$30</c:f>
              <c:strCache>
                <c:ptCount val="1"/>
                <c:pt idx="0">
                  <c:v>Satisfaction +</c:v>
                </c:pt>
              </c:strCache>
            </c:strRef>
          </c:tx>
          <c:spPr>
            <a:solidFill>
              <a:srgbClr val="1BAF7A"/>
            </a:solidFill>
            <a:ln w="6480">
              <a:solidFill>
                <a:srgbClr val="1BAF7A"/>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'Evidence Map'!$A$31:$A$38</c:f>
              <c:strCache>
                <c:ptCount val="8"/>
                <c:pt idx="0">
                  <c:v>Primary</c:v>
                </c:pt>
                <c:pt idx="1">
                  <c:v>Lower secondary</c:v>
                </c:pt>
                <c:pt idx="2">
                  <c:v>Upper secondary</c:v>
                </c:pt>
                <c:pt idx="3">
                  <c:v>Secondary (unspecified)</c:v>
                </c:pt>
                <c:pt idx="4">
                  <c:v>Mixed K-12</c:v>
                </c:pt>
                <c:pt idx="5">
                  <c:v>Mixed (school-age + adults)</c:v>
                </c:pt>
                <c:pt idx="6">
                  <c:v>Mixed (secondary + post-secondary)</c:v>
                </c:pt>
                <c:pt idx="7">
                  <c:v>Not reported</c:v>
                </c:pt>
              </c:strCache>
            </c:strRef>
          </c:cat>
          <c:val>
            <c:numRef>
              <c:f>'Evidence Map'!$G$31:$G$38</c:f>
              <c:numCache>
                <c:formatCode>General</c:formatCode>
                <c:ptCount val="8"/>
                <c:pt idx="0">
                  <c:v>3</c:v>
                </c:pt>
                <c:pt idx="1">
                  <c:v>1</c:v>
                </c:pt>
                <c:pt idx="2">
                  <c:v>1</c:v>
                </c:pt>
                <c:pt idx="3">
                  <c:v>3</c:v>
                </c:pt>
                <c:pt idx="4">
                  <c:v>1</c:v>
                </c:pt>
                <c:pt idx="5">
                  <c:v>1</c:v>
                </c:pt>
                <c:pt idx="6">
                  <c:v>2</c:v>
                </c:pt>
                <c:pt idx="7">
                  <c:v>1</c:v>
                </c:pt>
              </c:numCache>
            </c:numRef>
          </c:val>
          <c:extLst>
            <c:ext xmlns:c16="http://schemas.microsoft.com/office/drawing/2014/chart" uri="{C3380CC4-5D6E-409C-BE32-E72D297353CC}">
              <c16:uniqueId val="{00000002-95D7-4F12-8EBE-17F4FA6BA97A}"/>
            </c:ext>
          </c:extLst>
        </c:ser>
        <c:dLbls>
          <c:showLegendKey val="0"/>
          <c:showVal val="0"/>
          <c:showCatName val="0"/>
          <c:showSerName val="0"/>
          <c:showPercent val="0"/>
          <c:showBubbleSize val="0"/>
        </c:dLbls>
        <c:gapWidth val="60"/>
        <c:axId val="10813968"/>
        <c:axId val="42750360"/>
      </c:barChart>
      <c:catAx>
        <c:axId val="10813968"/>
        <c:scaling>
          <c:orientation val="maxMin"/>
        </c:scaling>
        <c:delete val="0"/>
        <c:axPos val="l"/>
        <c:numFmt formatCode="General"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42750360"/>
        <c:crosses val="autoZero"/>
        <c:auto val="1"/>
        <c:lblAlgn val="ctr"/>
        <c:lblOffset val="100"/>
        <c:noMultiLvlLbl val="0"/>
      </c:catAx>
      <c:valAx>
        <c:axId val="42750360"/>
        <c:scaling>
          <c:orientation val="minMax"/>
        </c:scaling>
        <c:delete val="0"/>
        <c:axPos val="t"/>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Number of studies</a:t>
                </a:r>
              </a:p>
            </c:rich>
          </c:tx>
          <c:overlay val="0"/>
          <c:spPr>
            <a:noFill/>
            <a:ln w="0">
              <a:noFill/>
            </a:ln>
          </c:spPr>
        </c:title>
        <c:numFmt formatCode="General"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10813968"/>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Figure 11. RQ6 – Positive findings by device category (Core)</a:t>
            </a:r>
          </a:p>
        </c:rich>
      </c:tx>
      <c:overlay val="0"/>
      <c:spPr>
        <a:noFill/>
        <a:ln w="0">
          <a:noFill/>
        </a:ln>
      </c:spPr>
    </c:title>
    <c:autoTitleDeleted val="0"/>
    <c:plotArea>
      <c:layout/>
      <c:barChart>
        <c:barDir val="bar"/>
        <c:grouping val="clustered"/>
        <c:varyColors val="0"/>
        <c:ser>
          <c:idx val="0"/>
          <c:order val="0"/>
          <c:tx>
            <c:strRef>
              <c:f>'Evidence Map'!$C$41</c:f>
              <c:strCache>
                <c:ptCount val="1"/>
                <c:pt idx="0">
                  <c:v>Engagement +</c:v>
                </c:pt>
              </c:strCache>
            </c:strRef>
          </c:tx>
          <c:spPr>
            <a:solidFill>
              <a:srgbClr val="2A78D6"/>
            </a:solidFill>
            <a:ln w="6480">
              <a:solidFill>
                <a:srgbClr val="2A78D6"/>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'Evidence Map'!$A$42:$A$46</c:f>
              <c:strCache>
                <c:ptCount val="5"/>
                <c:pt idx="0">
                  <c:v>HMD (immersive)</c:v>
                </c:pt>
                <c:pt idx="1">
                  <c:v>Handheld (mobile/tablet)</c:v>
                </c:pt>
                <c:pt idx="2">
                  <c:v>Desktop</c:v>
                </c:pt>
                <c:pt idx="3">
                  <c:v>CAVE / projection</c:v>
                </c:pt>
                <c:pt idx="4">
                  <c:v>Web-based</c:v>
                </c:pt>
              </c:strCache>
            </c:strRef>
          </c:cat>
          <c:val>
            <c:numRef>
              <c:f>'Evidence Map'!$C$42:$C$46</c:f>
              <c:numCache>
                <c:formatCode>General</c:formatCode>
                <c:ptCount val="5"/>
                <c:pt idx="0">
                  <c:v>5</c:v>
                </c:pt>
                <c:pt idx="1">
                  <c:v>0</c:v>
                </c:pt>
                <c:pt idx="2">
                  <c:v>0</c:v>
                </c:pt>
                <c:pt idx="3">
                  <c:v>2</c:v>
                </c:pt>
                <c:pt idx="4">
                  <c:v>0</c:v>
                </c:pt>
              </c:numCache>
            </c:numRef>
          </c:val>
          <c:extLst>
            <c:ext xmlns:c16="http://schemas.microsoft.com/office/drawing/2014/chart" uri="{C3380CC4-5D6E-409C-BE32-E72D297353CC}">
              <c16:uniqueId val="{00000000-DCE0-4521-B397-72B88BC9B697}"/>
            </c:ext>
          </c:extLst>
        </c:ser>
        <c:ser>
          <c:idx val="1"/>
          <c:order val="1"/>
          <c:tx>
            <c:strRef>
              <c:f>'Evidence Map'!$E$41</c:f>
              <c:strCache>
                <c:ptCount val="1"/>
                <c:pt idx="0">
                  <c:v>Motivation +</c:v>
                </c:pt>
              </c:strCache>
            </c:strRef>
          </c:tx>
          <c:spPr>
            <a:solidFill>
              <a:srgbClr val="EB6834"/>
            </a:solidFill>
            <a:ln w="6480">
              <a:solidFill>
                <a:srgbClr val="EB6834"/>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'Evidence Map'!$A$42:$A$46</c:f>
              <c:strCache>
                <c:ptCount val="5"/>
                <c:pt idx="0">
                  <c:v>HMD (immersive)</c:v>
                </c:pt>
                <c:pt idx="1">
                  <c:v>Handheld (mobile/tablet)</c:v>
                </c:pt>
                <c:pt idx="2">
                  <c:v>Desktop</c:v>
                </c:pt>
                <c:pt idx="3">
                  <c:v>CAVE / projection</c:v>
                </c:pt>
                <c:pt idx="4">
                  <c:v>Web-based</c:v>
                </c:pt>
              </c:strCache>
            </c:strRef>
          </c:cat>
          <c:val>
            <c:numRef>
              <c:f>'Evidence Map'!$E$42:$E$46</c:f>
              <c:numCache>
                <c:formatCode>General</c:formatCode>
                <c:ptCount val="5"/>
                <c:pt idx="0">
                  <c:v>8</c:v>
                </c:pt>
                <c:pt idx="1">
                  <c:v>1</c:v>
                </c:pt>
                <c:pt idx="2">
                  <c:v>3</c:v>
                </c:pt>
                <c:pt idx="3">
                  <c:v>1</c:v>
                </c:pt>
                <c:pt idx="4">
                  <c:v>0</c:v>
                </c:pt>
              </c:numCache>
            </c:numRef>
          </c:val>
          <c:extLst>
            <c:ext xmlns:c16="http://schemas.microsoft.com/office/drawing/2014/chart" uri="{C3380CC4-5D6E-409C-BE32-E72D297353CC}">
              <c16:uniqueId val="{00000001-DCE0-4521-B397-72B88BC9B697}"/>
            </c:ext>
          </c:extLst>
        </c:ser>
        <c:ser>
          <c:idx val="2"/>
          <c:order val="2"/>
          <c:tx>
            <c:strRef>
              <c:f>'Evidence Map'!$G$41</c:f>
              <c:strCache>
                <c:ptCount val="1"/>
                <c:pt idx="0">
                  <c:v>Satisfaction +</c:v>
                </c:pt>
              </c:strCache>
            </c:strRef>
          </c:tx>
          <c:spPr>
            <a:solidFill>
              <a:srgbClr val="1BAF7A"/>
            </a:solidFill>
            <a:ln w="6480">
              <a:solidFill>
                <a:srgbClr val="1BAF7A"/>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'Evidence Map'!$A$42:$A$46</c:f>
              <c:strCache>
                <c:ptCount val="5"/>
                <c:pt idx="0">
                  <c:v>HMD (immersive)</c:v>
                </c:pt>
                <c:pt idx="1">
                  <c:v>Handheld (mobile/tablet)</c:v>
                </c:pt>
                <c:pt idx="2">
                  <c:v>Desktop</c:v>
                </c:pt>
                <c:pt idx="3">
                  <c:v>CAVE / projection</c:v>
                </c:pt>
                <c:pt idx="4">
                  <c:v>Web-based</c:v>
                </c:pt>
              </c:strCache>
            </c:strRef>
          </c:cat>
          <c:val>
            <c:numRef>
              <c:f>'Evidence Map'!$G$42:$G$46</c:f>
              <c:numCache>
                <c:formatCode>General</c:formatCode>
                <c:ptCount val="5"/>
                <c:pt idx="0">
                  <c:v>6</c:v>
                </c:pt>
                <c:pt idx="1">
                  <c:v>2</c:v>
                </c:pt>
                <c:pt idx="2">
                  <c:v>3</c:v>
                </c:pt>
                <c:pt idx="3">
                  <c:v>0</c:v>
                </c:pt>
                <c:pt idx="4">
                  <c:v>0</c:v>
                </c:pt>
              </c:numCache>
            </c:numRef>
          </c:val>
          <c:extLst>
            <c:ext xmlns:c16="http://schemas.microsoft.com/office/drawing/2014/chart" uri="{C3380CC4-5D6E-409C-BE32-E72D297353CC}">
              <c16:uniqueId val="{00000002-DCE0-4521-B397-72B88BC9B697}"/>
            </c:ext>
          </c:extLst>
        </c:ser>
        <c:dLbls>
          <c:showLegendKey val="0"/>
          <c:showVal val="0"/>
          <c:showCatName val="0"/>
          <c:showSerName val="0"/>
          <c:showPercent val="0"/>
          <c:showBubbleSize val="0"/>
        </c:dLbls>
        <c:gapWidth val="60"/>
        <c:axId val="9260200"/>
        <c:axId val="37690677"/>
      </c:barChart>
      <c:catAx>
        <c:axId val="9260200"/>
        <c:scaling>
          <c:orientation val="maxMin"/>
        </c:scaling>
        <c:delete val="0"/>
        <c:axPos val="l"/>
        <c:numFmt formatCode="General"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37690677"/>
        <c:crosses val="autoZero"/>
        <c:auto val="1"/>
        <c:lblAlgn val="ctr"/>
        <c:lblOffset val="100"/>
        <c:noMultiLvlLbl val="0"/>
      </c:catAx>
      <c:valAx>
        <c:axId val="37690677"/>
        <c:scaling>
          <c:orientation val="minMax"/>
        </c:scaling>
        <c:delete val="0"/>
        <c:axPos val="t"/>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Number of studies</a:t>
                </a:r>
              </a:p>
            </c:rich>
          </c:tx>
          <c:overlay val="0"/>
          <c:spPr>
            <a:noFill/>
            <a:ln w="0">
              <a:noFill/>
            </a:ln>
          </c:spPr>
        </c:title>
        <c:numFmt formatCode="General"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9260200"/>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Figure 12. RQ7 – Study designs</a:t>
            </a:r>
          </a:p>
        </c:rich>
      </c:tx>
      <c:overlay val="0"/>
      <c:spPr>
        <a:noFill/>
        <a:ln w="0">
          <a:noFill/>
        </a:ln>
      </c:spPr>
    </c:title>
    <c:autoTitleDeleted val="0"/>
    <c:plotArea>
      <c:layout/>
      <c:barChart>
        <c:barDir val="bar"/>
        <c:grouping val="clustered"/>
        <c:varyColors val="0"/>
        <c:ser>
          <c:idx val="0"/>
          <c:order val="0"/>
          <c:tx>
            <c:strRef>
              <c:f>'Evidence Map'!$B$174</c:f>
              <c:strCache>
                <c:ptCount val="1"/>
                <c:pt idx="0">
                  <c:v>Empirical studies (n = 32)</c:v>
                </c:pt>
              </c:strCache>
            </c:strRef>
          </c:tx>
          <c:spPr>
            <a:solidFill>
              <a:srgbClr val="2A78D6"/>
            </a:solidFill>
            <a:ln w="6480">
              <a:solidFill>
                <a:srgbClr val="2A78D6"/>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'Evidence Map'!$A$175:$A$181</c:f>
              <c:strCache>
                <c:ptCount val="7"/>
                <c:pt idx="0">
                  <c:v>Single group, post-test only</c:v>
                </c:pt>
                <c:pt idx="1">
                  <c:v>Single group, pre–post</c:v>
                </c:pt>
                <c:pt idx="2">
                  <c:v>Single group, mixed methods / DBR</c:v>
                </c:pt>
                <c:pt idx="3">
                  <c:v>Within-subject comparison</c:v>
                </c:pt>
                <c:pt idx="4">
                  <c:v>Between-group comparison (non-randomised)</c:v>
                </c:pt>
                <c:pt idx="5">
                  <c:v>Cross-sectional survey</c:v>
                </c:pt>
                <c:pt idx="6">
                  <c:v>Qualitative</c:v>
                </c:pt>
              </c:strCache>
            </c:strRef>
          </c:cat>
          <c:val>
            <c:numRef>
              <c:f>'Evidence Map'!$B$175:$B$181</c:f>
              <c:numCache>
                <c:formatCode>General</c:formatCode>
                <c:ptCount val="7"/>
                <c:pt idx="0">
                  <c:v>15</c:v>
                </c:pt>
                <c:pt idx="1">
                  <c:v>1</c:v>
                </c:pt>
                <c:pt idx="2">
                  <c:v>5</c:v>
                </c:pt>
                <c:pt idx="3">
                  <c:v>6</c:v>
                </c:pt>
                <c:pt idx="4">
                  <c:v>2</c:v>
                </c:pt>
                <c:pt idx="5">
                  <c:v>1</c:v>
                </c:pt>
                <c:pt idx="6">
                  <c:v>2</c:v>
                </c:pt>
              </c:numCache>
            </c:numRef>
          </c:val>
          <c:extLst>
            <c:ext xmlns:c16="http://schemas.microsoft.com/office/drawing/2014/chart" uri="{C3380CC4-5D6E-409C-BE32-E72D297353CC}">
              <c16:uniqueId val="{00000000-B9D6-4002-8693-950F74C6832E}"/>
            </c:ext>
          </c:extLst>
        </c:ser>
        <c:ser>
          <c:idx val="1"/>
          <c:order val="1"/>
          <c:tx>
            <c:strRef>
              <c:f>'Evidence Map'!$C$174</c:f>
              <c:strCache>
                <c:ptCount val="1"/>
                <c:pt idx="0">
                  <c:v>Core set (n = 21)</c:v>
                </c:pt>
              </c:strCache>
            </c:strRef>
          </c:tx>
          <c:spPr>
            <a:solidFill>
              <a:srgbClr val="EB6834"/>
            </a:solidFill>
            <a:ln w="6480">
              <a:solidFill>
                <a:srgbClr val="EB6834"/>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'Evidence Map'!$A$175:$A$181</c:f>
              <c:strCache>
                <c:ptCount val="7"/>
                <c:pt idx="0">
                  <c:v>Single group, post-test only</c:v>
                </c:pt>
                <c:pt idx="1">
                  <c:v>Single group, pre–post</c:v>
                </c:pt>
                <c:pt idx="2">
                  <c:v>Single group, mixed methods / DBR</c:v>
                </c:pt>
                <c:pt idx="3">
                  <c:v>Within-subject comparison</c:v>
                </c:pt>
                <c:pt idx="4">
                  <c:v>Between-group comparison (non-randomised)</c:v>
                </c:pt>
                <c:pt idx="5">
                  <c:v>Cross-sectional survey</c:v>
                </c:pt>
                <c:pt idx="6">
                  <c:v>Qualitative</c:v>
                </c:pt>
              </c:strCache>
            </c:strRef>
          </c:cat>
          <c:val>
            <c:numRef>
              <c:f>'Evidence Map'!$C$175:$C$181</c:f>
              <c:numCache>
                <c:formatCode>General</c:formatCode>
                <c:ptCount val="7"/>
                <c:pt idx="0">
                  <c:v>11</c:v>
                </c:pt>
                <c:pt idx="1">
                  <c:v>1</c:v>
                </c:pt>
                <c:pt idx="2">
                  <c:v>3</c:v>
                </c:pt>
                <c:pt idx="3">
                  <c:v>2</c:v>
                </c:pt>
                <c:pt idx="4">
                  <c:v>2</c:v>
                </c:pt>
                <c:pt idx="5">
                  <c:v>1</c:v>
                </c:pt>
                <c:pt idx="6">
                  <c:v>1</c:v>
                </c:pt>
              </c:numCache>
            </c:numRef>
          </c:val>
          <c:extLst>
            <c:ext xmlns:c16="http://schemas.microsoft.com/office/drawing/2014/chart" uri="{C3380CC4-5D6E-409C-BE32-E72D297353CC}">
              <c16:uniqueId val="{00000001-B9D6-4002-8693-950F74C6832E}"/>
            </c:ext>
          </c:extLst>
        </c:ser>
        <c:dLbls>
          <c:showLegendKey val="0"/>
          <c:showVal val="0"/>
          <c:showCatName val="0"/>
          <c:showSerName val="0"/>
          <c:showPercent val="0"/>
          <c:showBubbleSize val="0"/>
        </c:dLbls>
        <c:gapWidth val="60"/>
        <c:axId val="73650427"/>
        <c:axId val="37799833"/>
      </c:barChart>
      <c:catAx>
        <c:axId val="73650427"/>
        <c:scaling>
          <c:orientation val="maxMin"/>
        </c:scaling>
        <c:delete val="0"/>
        <c:axPos val="l"/>
        <c:numFmt formatCode="General"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37799833"/>
        <c:crosses val="autoZero"/>
        <c:auto val="1"/>
        <c:lblAlgn val="ctr"/>
        <c:lblOffset val="100"/>
        <c:noMultiLvlLbl val="0"/>
      </c:catAx>
      <c:valAx>
        <c:axId val="37799833"/>
        <c:scaling>
          <c:orientation val="minMax"/>
        </c:scaling>
        <c:delete val="0"/>
        <c:axPos val="t"/>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Number of studies</a:t>
                </a:r>
              </a:p>
            </c:rich>
          </c:tx>
          <c:overlay val="0"/>
          <c:spPr>
            <a:noFill/>
            <a:ln w="0">
              <a:noFill/>
            </a:ln>
          </c:spPr>
        </c:title>
        <c:numFmt formatCode="General"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73650427"/>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Figure 13. RQ7 – Statistical support</a:t>
            </a:r>
          </a:p>
        </c:rich>
      </c:tx>
      <c:overlay val="0"/>
      <c:spPr>
        <a:noFill/>
        <a:ln w="0">
          <a:noFill/>
        </a:ln>
      </c:spPr>
    </c:title>
    <c:autoTitleDeleted val="0"/>
    <c:plotArea>
      <c:layout/>
      <c:barChart>
        <c:barDir val="bar"/>
        <c:grouping val="clustered"/>
        <c:varyColors val="0"/>
        <c:ser>
          <c:idx val="0"/>
          <c:order val="0"/>
          <c:tx>
            <c:strRef>
              <c:f>'Evidence Map'!$B$194</c:f>
              <c:strCache>
                <c:ptCount val="1"/>
                <c:pt idx="0">
                  <c:v>Empirical studies (n = 32)</c:v>
                </c:pt>
              </c:strCache>
            </c:strRef>
          </c:tx>
          <c:spPr>
            <a:solidFill>
              <a:srgbClr val="2A78D6"/>
            </a:solidFill>
            <a:ln w="6480">
              <a:solidFill>
                <a:srgbClr val="2A78D6"/>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'Evidence Map'!$A$195:$A$198</c:f>
              <c:strCache>
                <c:ptCount val="4"/>
                <c:pt idx="0">
                  <c:v>Inferential with effect size</c:v>
                </c:pt>
                <c:pt idx="1">
                  <c:v>Inferential, no effect size</c:v>
                </c:pt>
                <c:pt idx="2">
                  <c:v>Descriptive only</c:v>
                </c:pt>
                <c:pt idx="3">
                  <c:v>Qualitative only</c:v>
                </c:pt>
              </c:strCache>
            </c:strRef>
          </c:cat>
          <c:val>
            <c:numRef>
              <c:f>'Evidence Map'!$B$195:$B$198</c:f>
              <c:numCache>
                <c:formatCode>General</c:formatCode>
                <c:ptCount val="4"/>
                <c:pt idx="0">
                  <c:v>0</c:v>
                </c:pt>
                <c:pt idx="1">
                  <c:v>6</c:v>
                </c:pt>
                <c:pt idx="2">
                  <c:v>24</c:v>
                </c:pt>
                <c:pt idx="3">
                  <c:v>2</c:v>
                </c:pt>
              </c:numCache>
            </c:numRef>
          </c:val>
          <c:extLst>
            <c:ext xmlns:c16="http://schemas.microsoft.com/office/drawing/2014/chart" uri="{C3380CC4-5D6E-409C-BE32-E72D297353CC}">
              <c16:uniqueId val="{00000000-D15E-4975-A65E-A2920C70AD9E}"/>
            </c:ext>
          </c:extLst>
        </c:ser>
        <c:ser>
          <c:idx val="1"/>
          <c:order val="1"/>
          <c:tx>
            <c:strRef>
              <c:f>'Evidence Map'!$C$194</c:f>
              <c:strCache>
                <c:ptCount val="1"/>
                <c:pt idx="0">
                  <c:v>Core set (n = 21)</c:v>
                </c:pt>
              </c:strCache>
            </c:strRef>
          </c:tx>
          <c:spPr>
            <a:solidFill>
              <a:srgbClr val="EB6834"/>
            </a:solidFill>
            <a:ln w="6480">
              <a:solidFill>
                <a:srgbClr val="EB6834"/>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'Evidence Map'!$A$195:$A$198</c:f>
              <c:strCache>
                <c:ptCount val="4"/>
                <c:pt idx="0">
                  <c:v>Inferential with effect size</c:v>
                </c:pt>
                <c:pt idx="1">
                  <c:v>Inferential, no effect size</c:v>
                </c:pt>
                <c:pt idx="2">
                  <c:v>Descriptive only</c:v>
                </c:pt>
                <c:pt idx="3">
                  <c:v>Qualitative only</c:v>
                </c:pt>
              </c:strCache>
            </c:strRef>
          </c:cat>
          <c:val>
            <c:numRef>
              <c:f>'Evidence Map'!$C$195:$C$198</c:f>
              <c:numCache>
                <c:formatCode>General</c:formatCode>
                <c:ptCount val="4"/>
                <c:pt idx="0">
                  <c:v>0</c:v>
                </c:pt>
                <c:pt idx="1">
                  <c:v>4</c:v>
                </c:pt>
                <c:pt idx="2">
                  <c:v>16</c:v>
                </c:pt>
                <c:pt idx="3">
                  <c:v>1</c:v>
                </c:pt>
              </c:numCache>
            </c:numRef>
          </c:val>
          <c:extLst>
            <c:ext xmlns:c16="http://schemas.microsoft.com/office/drawing/2014/chart" uri="{C3380CC4-5D6E-409C-BE32-E72D297353CC}">
              <c16:uniqueId val="{00000001-D15E-4975-A65E-A2920C70AD9E}"/>
            </c:ext>
          </c:extLst>
        </c:ser>
        <c:dLbls>
          <c:showLegendKey val="0"/>
          <c:showVal val="0"/>
          <c:showCatName val="0"/>
          <c:showSerName val="0"/>
          <c:showPercent val="0"/>
          <c:showBubbleSize val="0"/>
        </c:dLbls>
        <c:gapWidth val="60"/>
        <c:axId val="30204067"/>
        <c:axId val="81250096"/>
      </c:barChart>
      <c:catAx>
        <c:axId val="30204067"/>
        <c:scaling>
          <c:orientation val="maxMin"/>
        </c:scaling>
        <c:delete val="0"/>
        <c:axPos val="l"/>
        <c:numFmt formatCode="General"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81250096"/>
        <c:crosses val="autoZero"/>
        <c:auto val="1"/>
        <c:lblAlgn val="ctr"/>
        <c:lblOffset val="100"/>
        <c:noMultiLvlLbl val="0"/>
      </c:catAx>
      <c:valAx>
        <c:axId val="81250096"/>
        <c:scaling>
          <c:orientation val="minMax"/>
        </c:scaling>
        <c:delete val="0"/>
        <c:axPos val="t"/>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Number of studies</a:t>
                </a:r>
              </a:p>
            </c:rich>
          </c:tx>
          <c:overlay val="0"/>
          <c:spPr>
            <a:noFill/>
            <a:ln w="0">
              <a:noFill/>
            </a:ln>
          </c:spPr>
        </c:title>
        <c:numFmt formatCode="General"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30204067"/>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Figure 14. RQ7 – MMAT scores (criteria met of 5)</a:t>
            </a:r>
          </a:p>
        </c:rich>
      </c:tx>
      <c:overlay val="0"/>
      <c:spPr>
        <a:noFill/>
        <a:ln w="0">
          <a:noFill/>
        </a:ln>
      </c:spPr>
    </c:title>
    <c:autoTitleDeleted val="0"/>
    <c:plotArea>
      <c:layout/>
      <c:barChart>
        <c:barDir val="col"/>
        <c:grouping val="clustered"/>
        <c:varyColors val="0"/>
        <c:ser>
          <c:idx val="0"/>
          <c:order val="0"/>
          <c:tx>
            <c:strRef>
              <c:f>'Evidence Map'!$B$220</c:f>
              <c:strCache>
                <c:ptCount val="1"/>
                <c:pt idx="0">
                  <c:v>Empirical studies (n = 32)</c:v>
                </c:pt>
              </c:strCache>
            </c:strRef>
          </c:tx>
          <c:spPr>
            <a:solidFill>
              <a:srgbClr val="2A78D6"/>
            </a:solidFill>
            <a:ln w="6480">
              <a:solidFill>
                <a:srgbClr val="2A78D6"/>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'Evidence Map'!$A$221:$A$226</c:f>
              <c:strCache>
                <c:ptCount val="6"/>
                <c:pt idx="0">
                  <c:v>0</c:v>
                </c:pt>
                <c:pt idx="1">
                  <c:v>1</c:v>
                </c:pt>
                <c:pt idx="2">
                  <c:v>2</c:v>
                </c:pt>
                <c:pt idx="3">
                  <c:v>3</c:v>
                </c:pt>
                <c:pt idx="4">
                  <c:v>4</c:v>
                </c:pt>
                <c:pt idx="5">
                  <c:v>5</c:v>
                </c:pt>
              </c:strCache>
            </c:strRef>
          </c:cat>
          <c:val>
            <c:numRef>
              <c:f>'Evidence Map'!$B$221:$B$226</c:f>
              <c:numCache>
                <c:formatCode>General</c:formatCode>
                <c:ptCount val="6"/>
                <c:pt idx="0">
                  <c:v>5</c:v>
                </c:pt>
                <c:pt idx="1">
                  <c:v>4</c:v>
                </c:pt>
                <c:pt idx="2">
                  <c:v>9</c:v>
                </c:pt>
                <c:pt idx="3">
                  <c:v>11</c:v>
                </c:pt>
                <c:pt idx="4">
                  <c:v>3</c:v>
                </c:pt>
                <c:pt idx="5">
                  <c:v>0</c:v>
                </c:pt>
              </c:numCache>
            </c:numRef>
          </c:val>
          <c:extLst>
            <c:ext xmlns:c16="http://schemas.microsoft.com/office/drawing/2014/chart" uri="{C3380CC4-5D6E-409C-BE32-E72D297353CC}">
              <c16:uniqueId val="{00000000-E747-4CFF-A1CF-AD37D05B9236}"/>
            </c:ext>
          </c:extLst>
        </c:ser>
        <c:ser>
          <c:idx val="1"/>
          <c:order val="1"/>
          <c:tx>
            <c:strRef>
              <c:f>'Evidence Map'!$C$220</c:f>
              <c:strCache>
                <c:ptCount val="1"/>
                <c:pt idx="0">
                  <c:v>Core set (n = 21)</c:v>
                </c:pt>
              </c:strCache>
            </c:strRef>
          </c:tx>
          <c:spPr>
            <a:solidFill>
              <a:srgbClr val="EB6834"/>
            </a:solidFill>
            <a:ln w="6480">
              <a:solidFill>
                <a:srgbClr val="EB6834"/>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'Evidence Map'!$A$221:$A$226</c:f>
              <c:strCache>
                <c:ptCount val="6"/>
                <c:pt idx="0">
                  <c:v>0</c:v>
                </c:pt>
                <c:pt idx="1">
                  <c:v>1</c:v>
                </c:pt>
                <c:pt idx="2">
                  <c:v>2</c:v>
                </c:pt>
                <c:pt idx="3">
                  <c:v>3</c:v>
                </c:pt>
                <c:pt idx="4">
                  <c:v>4</c:v>
                </c:pt>
                <c:pt idx="5">
                  <c:v>5</c:v>
                </c:pt>
              </c:strCache>
            </c:strRef>
          </c:cat>
          <c:val>
            <c:numRef>
              <c:f>'Evidence Map'!$C$221:$C$226</c:f>
              <c:numCache>
                <c:formatCode>General</c:formatCode>
                <c:ptCount val="6"/>
                <c:pt idx="0">
                  <c:v>3</c:v>
                </c:pt>
                <c:pt idx="1">
                  <c:v>3</c:v>
                </c:pt>
                <c:pt idx="2">
                  <c:v>7</c:v>
                </c:pt>
                <c:pt idx="3">
                  <c:v>6</c:v>
                </c:pt>
                <c:pt idx="4">
                  <c:v>2</c:v>
                </c:pt>
                <c:pt idx="5">
                  <c:v>0</c:v>
                </c:pt>
              </c:numCache>
            </c:numRef>
          </c:val>
          <c:extLst>
            <c:ext xmlns:c16="http://schemas.microsoft.com/office/drawing/2014/chart" uri="{C3380CC4-5D6E-409C-BE32-E72D297353CC}">
              <c16:uniqueId val="{00000001-E747-4CFF-A1CF-AD37D05B9236}"/>
            </c:ext>
          </c:extLst>
        </c:ser>
        <c:dLbls>
          <c:showLegendKey val="0"/>
          <c:showVal val="0"/>
          <c:showCatName val="0"/>
          <c:showSerName val="0"/>
          <c:showPercent val="0"/>
          <c:showBubbleSize val="0"/>
        </c:dLbls>
        <c:gapWidth val="60"/>
        <c:axId val="79944693"/>
        <c:axId val="21974604"/>
      </c:barChart>
      <c:catAx>
        <c:axId val="79944693"/>
        <c:scaling>
          <c:orientation val="minMax"/>
        </c:scaling>
        <c:delete val="0"/>
        <c:axPos val="b"/>
        <c:numFmt formatCode="General"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21974604"/>
        <c:crosses val="autoZero"/>
        <c:auto val="1"/>
        <c:lblAlgn val="ctr"/>
        <c:lblOffset val="100"/>
        <c:noMultiLvlLbl val="0"/>
      </c:catAx>
      <c:valAx>
        <c:axId val="21974604"/>
        <c:scaling>
          <c:orientation val="minMax"/>
        </c:scaling>
        <c:delete val="0"/>
        <c:axPos val="l"/>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Number of studies</a:t>
                </a:r>
              </a:p>
            </c:rich>
          </c:tx>
          <c:overlay val="0"/>
          <c:spPr>
            <a:noFill/>
            <a:ln w="0">
              <a:noFill/>
            </a:ln>
          </c:spPr>
        </c:title>
        <c:numFmt formatCode="General"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79944693"/>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Figure 15. RQ7 – Overall rigor</a:t>
            </a:r>
          </a:p>
        </c:rich>
      </c:tx>
      <c:overlay val="0"/>
      <c:spPr>
        <a:noFill/>
        <a:ln w="0">
          <a:noFill/>
        </a:ln>
      </c:spPr>
    </c:title>
    <c:autoTitleDeleted val="0"/>
    <c:plotArea>
      <c:layout/>
      <c:barChart>
        <c:barDir val="col"/>
        <c:grouping val="clustered"/>
        <c:varyColors val="0"/>
        <c:ser>
          <c:idx val="0"/>
          <c:order val="0"/>
          <c:tx>
            <c:strRef>
              <c:f>'Evidence Map'!$B$231</c:f>
              <c:strCache>
                <c:ptCount val="1"/>
                <c:pt idx="0">
                  <c:v>Empirical studies (n = 32)</c:v>
                </c:pt>
              </c:strCache>
            </c:strRef>
          </c:tx>
          <c:spPr>
            <a:solidFill>
              <a:srgbClr val="2A78D6"/>
            </a:solidFill>
            <a:ln w="6480">
              <a:solidFill>
                <a:srgbClr val="2A78D6"/>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'Evidence Map'!$A$232:$A$234</c:f>
              <c:strCache>
                <c:ptCount val="3"/>
                <c:pt idx="0">
                  <c:v>High</c:v>
                </c:pt>
                <c:pt idx="1">
                  <c:v>Moderate</c:v>
                </c:pt>
                <c:pt idx="2">
                  <c:v>Low</c:v>
                </c:pt>
              </c:strCache>
            </c:strRef>
          </c:cat>
          <c:val>
            <c:numRef>
              <c:f>'Evidence Map'!$B$232:$B$234</c:f>
              <c:numCache>
                <c:formatCode>General</c:formatCode>
                <c:ptCount val="3"/>
                <c:pt idx="0">
                  <c:v>0</c:v>
                </c:pt>
                <c:pt idx="1">
                  <c:v>6</c:v>
                </c:pt>
                <c:pt idx="2">
                  <c:v>26</c:v>
                </c:pt>
              </c:numCache>
            </c:numRef>
          </c:val>
          <c:extLst>
            <c:ext xmlns:c16="http://schemas.microsoft.com/office/drawing/2014/chart" uri="{C3380CC4-5D6E-409C-BE32-E72D297353CC}">
              <c16:uniqueId val="{00000000-9E05-47A6-8F0B-26DB366A31FF}"/>
            </c:ext>
          </c:extLst>
        </c:ser>
        <c:ser>
          <c:idx val="1"/>
          <c:order val="1"/>
          <c:tx>
            <c:strRef>
              <c:f>'Evidence Map'!$C$231</c:f>
              <c:strCache>
                <c:ptCount val="1"/>
                <c:pt idx="0">
                  <c:v>Core set (n = 21)</c:v>
                </c:pt>
              </c:strCache>
            </c:strRef>
          </c:tx>
          <c:spPr>
            <a:solidFill>
              <a:srgbClr val="EB6834"/>
            </a:solidFill>
            <a:ln w="6480">
              <a:solidFill>
                <a:srgbClr val="EB6834"/>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'Evidence Map'!$A$232:$A$234</c:f>
              <c:strCache>
                <c:ptCount val="3"/>
                <c:pt idx="0">
                  <c:v>High</c:v>
                </c:pt>
                <c:pt idx="1">
                  <c:v>Moderate</c:v>
                </c:pt>
                <c:pt idx="2">
                  <c:v>Low</c:v>
                </c:pt>
              </c:strCache>
            </c:strRef>
          </c:cat>
          <c:val>
            <c:numRef>
              <c:f>'Evidence Map'!$C$232:$C$234</c:f>
              <c:numCache>
                <c:formatCode>General</c:formatCode>
                <c:ptCount val="3"/>
                <c:pt idx="0">
                  <c:v>0</c:v>
                </c:pt>
                <c:pt idx="1">
                  <c:v>4</c:v>
                </c:pt>
                <c:pt idx="2">
                  <c:v>17</c:v>
                </c:pt>
              </c:numCache>
            </c:numRef>
          </c:val>
          <c:extLst>
            <c:ext xmlns:c16="http://schemas.microsoft.com/office/drawing/2014/chart" uri="{C3380CC4-5D6E-409C-BE32-E72D297353CC}">
              <c16:uniqueId val="{00000001-9E05-47A6-8F0B-26DB366A31FF}"/>
            </c:ext>
          </c:extLst>
        </c:ser>
        <c:dLbls>
          <c:showLegendKey val="0"/>
          <c:showVal val="0"/>
          <c:showCatName val="0"/>
          <c:showSerName val="0"/>
          <c:showPercent val="0"/>
          <c:showBubbleSize val="0"/>
        </c:dLbls>
        <c:gapWidth val="60"/>
        <c:axId val="53074439"/>
        <c:axId val="31864849"/>
      </c:barChart>
      <c:catAx>
        <c:axId val="53074439"/>
        <c:scaling>
          <c:orientation val="minMax"/>
        </c:scaling>
        <c:delete val="0"/>
        <c:axPos val="b"/>
        <c:numFmt formatCode="General"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31864849"/>
        <c:crosses val="autoZero"/>
        <c:auto val="1"/>
        <c:lblAlgn val="ctr"/>
        <c:lblOffset val="100"/>
        <c:noMultiLvlLbl val="0"/>
      </c:catAx>
      <c:valAx>
        <c:axId val="31864849"/>
        <c:scaling>
          <c:orientation val="minMax"/>
        </c:scaling>
        <c:delete val="0"/>
        <c:axPos val="l"/>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Number of studies</a:t>
                </a:r>
              </a:p>
            </c:rich>
          </c:tx>
          <c:overlay val="0"/>
          <c:spPr>
            <a:noFill/>
            <a:ln w="0">
              <a:noFill/>
            </a:ln>
          </c:spPr>
        </c:title>
        <c:numFmt formatCode="General"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53074439"/>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Figure 16. RQ7 – Instrument validation</a:t>
            </a:r>
          </a:p>
        </c:rich>
      </c:tx>
      <c:overlay val="0"/>
      <c:spPr>
        <a:noFill/>
        <a:ln w="0">
          <a:noFill/>
        </a:ln>
      </c:spPr>
    </c:title>
    <c:autoTitleDeleted val="0"/>
    <c:plotArea>
      <c:layout/>
      <c:barChart>
        <c:barDir val="bar"/>
        <c:grouping val="clustered"/>
        <c:varyColors val="0"/>
        <c:ser>
          <c:idx val="0"/>
          <c:order val="0"/>
          <c:tx>
            <c:strRef>
              <c:f>'Evidence Map'!$B$202</c:f>
              <c:strCache>
                <c:ptCount val="1"/>
                <c:pt idx="0">
                  <c:v>Empirical studies (n = 32)</c:v>
                </c:pt>
              </c:strCache>
            </c:strRef>
          </c:tx>
          <c:spPr>
            <a:solidFill>
              <a:srgbClr val="2A78D6"/>
            </a:solidFill>
            <a:ln w="6480">
              <a:solidFill>
                <a:srgbClr val="2A78D6"/>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'Evidence Map'!$A$203:$A$207</c:f>
              <c:strCache>
                <c:ptCount val="5"/>
                <c:pt idx="0">
                  <c:v>Yes</c:v>
                </c:pt>
                <c:pt idx="1">
                  <c:v>Adapted</c:v>
                </c:pt>
                <c:pt idx="2">
                  <c:v>Partly</c:v>
                </c:pt>
                <c:pt idx="3">
                  <c:v>No</c:v>
                </c:pt>
                <c:pt idx="4">
                  <c:v>N/A</c:v>
                </c:pt>
              </c:strCache>
            </c:strRef>
          </c:cat>
          <c:val>
            <c:numRef>
              <c:f>'Evidence Map'!$B$203:$B$207</c:f>
              <c:numCache>
                <c:formatCode>General</c:formatCode>
                <c:ptCount val="5"/>
                <c:pt idx="0">
                  <c:v>8</c:v>
                </c:pt>
                <c:pt idx="1">
                  <c:v>6</c:v>
                </c:pt>
                <c:pt idx="2">
                  <c:v>3</c:v>
                </c:pt>
                <c:pt idx="3">
                  <c:v>13</c:v>
                </c:pt>
                <c:pt idx="4">
                  <c:v>2</c:v>
                </c:pt>
              </c:numCache>
            </c:numRef>
          </c:val>
          <c:extLst>
            <c:ext xmlns:c16="http://schemas.microsoft.com/office/drawing/2014/chart" uri="{C3380CC4-5D6E-409C-BE32-E72D297353CC}">
              <c16:uniqueId val="{00000000-FF08-419D-87B5-F15F2A84F085}"/>
            </c:ext>
          </c:extLst>
        </c:ser>
        <c:ser>
          <c:idx val="1"/>
          <c:order val="1"/>
          <c:tx>
            <c:strRef>
              <c:f>'Evidence Map'!$C$202</c:f>
              <c:strCache>
                <c:ptCount val="1"/>
                <c:pt idx="0">
                  <c:v>Core set (n = 21)</c:v>
                </c:pt>
              </c:strCache>
            </c:strRef>
          </c:tx>
          <c:spPr>
            <a:solidFill>
              <a:srgbClr val="EB6834"/>
            </a:solidFill>
            <a:ln w="6480">
              <a:solidFill>
                <a:srgbClr val="EB6834"/>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'Evidence Map'!$A$203:$A$207</c:f>
              <c:strCache>
                <c:ptCount val="5"/>
                <c:pt idx="0">
                  <c:v>Yes</c:v>
                </c:pt>
                <c:pt idx="1">
                  <c:v>Adapted</c:v>
                </c:pt>
                <c:pt idx="2">
                  <c:v>Partly</c:v>
                </c:pt>
                <c:pt idx="3">
                  <c:v>No</c:v>
                </c:pt>
                <c:pt idx="4">
                  <c:v>N/A</c:v>
                </c:pt>
              </c:strCache>
            </c:strRef>
          </c:cat>
          <c:val>
            <c:numRef>
              <c:f>'Evidence Map'!$C$203:$C$207</c:f>
              <c:numCache>
                <c:formatCode>General</c:formatCode>
                <c:ptCount val="5"/>
                <c:pt idx="0">
                  <c:v>3</c:v>
                </c:pt>
                <c:pt idx="1">
                  <c:v>5</c:v>
                </c:pt>
                <c:pt idx="2">
                  <c:v>3</c:v>
                </c:pt>
                <c:pt idx="3">
                  <c:v>9</c:v>
                </c:pt>
                <c:pt idx="4">
                  <c:v>1</c:v>
                </c:pt>
              </c:numCache>
            </c:numRef>
          </c:val>
          <c:extLst>
            <c:ext xmlns:c16="http://schemas.microsoft.com/office/drawing/2014/chart" uri="{C3380CC4-5D6E-409C-BE32-E72D297353CC}">
              <c16:uniqueId val="{00000001-FF08-419D-87B5-F15F2A84F085}"/>
            </c:ext>
          </c:extLst>
        </c:ser>
        <c:dLbls>
          <c:showLegendKey val="0"/>
          <c:showVal val="0"/>
          <c:showCatName val="0"/>
          <c:showSerName val="0"/>
          <c:showPercent val="0"/>
          <c:showBubbleSize val="0"/>
        </c:dLbls>
        <c:gapWidth val="60"/>
        <c:axId val="22777514"/>
        <c:axId val="49073123"/>
      </c:barChart>
      <c:catAx>
        <c:axId val="22777514"/>
        <c:scaling>
          <c:orientation val="maxMin"/>
        </c:scaling>
        <c:delete val="0"/>
        <c:axPos val="l"/>
        <c:numFmt formatCode="General"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49073123"/>
        <c:crosses val="autoZero"/>
        <c:auto val="1"/>
        <c:lblAlgn val="ctr"/>
        <c:lblOffset val="100"/>
        <c:noMultiLvlLbl val="0"/>
      </c:catAx>
      <c:valAx>
        <c:axId val="49073123"/>
        <c:scaling>
          <c:orientation val="minMax"/>
        </c:scaling>
        <c:delete val="0"/>
        <c:axPos val="t"/>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Number of studies</a:t>
                </a:r>
              </a:p>
            </c:rich>
          </c:tx>
          <c:overlay val="0"/>
          <c:spPr>
            <a:noFill/>
            <a:ln w="0">
              <a:noFill/>
            </a:ln>
          </c:spPr>
        </c:title>
        <c:numFmt formatCode="General"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22777514"/>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Figure 17. RQ7 – Reporting of adverse effects</a:t>
            </a:r>
          </a:p>
        </c:rich>
      </c:tx>
      <c:overlay val="0"/>
      <c:spPr>
        <a:noFill/>
        <a:ln w="0">
          <a:noFill/>
        </a:ln>
      </c:spPr>
    </c:title>
    <c:autoTitleDeleted val="0"/>
    <c:plotArea>
      <c:layout/>
      <c:barChart>
        <c:barDir val="bar"/>
        <c:grouping val="clustered"/>
        <c:varyColors val="0"/>
        <c:ser>
          <c:idx val="0"/>
          <c:order val="0"/>
          <c:tx>
            <c:strRef>
              <c:f>'Evidence Map'!$B$238</c:f>
              <c:strCache>
                <c:ptCount val="1"/>
                <c:pt idx="0">
                  <c:v>Empirical studies (n = 32)</c:v>
                </c:pt>
              </c:strCache>
            </c:strRef>
          </c:tx>
          <c:spPr>
            <a:solidFill>
              <a:srgbClr val="2A78D6"/>
            </a:solidFill>
            <a:ln w="6480">
              <a:solidFill>
                <a:srgbClr val="2A78D6"/>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'Evidence Map'!$A$239:$A$242</c:f>
              <c:strCache>
                <c:ptCount val="4"/>
                <c:pt idx="0">
                  <c:v>Cybersickness / physical discomfort reported</c:v>
                </c:pt>
                <c:pt idx="1">
                  <c:v>Usability, behavioural or safety issues only</c:v>
                </c:pt>
                <c:pt idx="2">
                  <c:v>Explicitly none observed</c:v>
                </c:pt>
                <c:pt idx="3">
                  <c:v>Not reported</c:v>
                </c:pt>
              </c:strCache>
            </c:strRef>
          </c:cat>
          <c:val>
            <c:numRef>
              <c:f>'Evidence Map'!$B$239:$B$242</c:f>
              <c:numCache>
                <c:formatCode>General</c:formatCode>
                <c:ptCount val="4"/>
                <c:pt idx="0">
                  <c:v>6</c:v>
                </c:pt>
                <c:pt idx="1">
                  <c:v>14</c:v>
                </c:pt>
                <c:pt idx="2">
                  <c:v>4</c:v>
                </c:pt>
                <c:pt idx="3">
                  <c:v>8</c:v>
                </c:pt>
              </c:numCache>
            </c:numRef>
          </c:val>
          <c:extLst>
            <c:ext xmlns:c16="http://schemas.microsoft.com/office/drawing/2014/chart" uri="{C3380CC4-5D6E-409C-BE32-E72D297353CC}">
              <c16:uniqueId val="{00000000-FB7E-4A80-AD58-E7AF0856EC22}"/>
            </c:ext>
          </c:extLst>
        </c:ser>
        <c:ser>
          <c:idx val="1"/>
          <c:order val="1"/>
          <c:tx>
            <c:strRef>
              <c:f>'Evidence Map'!$C$238</c:f>
              <c:strCache>
                <c:ptCount val="1"/>
                <c:pt idx="0">
                  <c:v>Core set (n = 21)</c:v>
                </c:pt>
              </c:strCache>
            </c:strRef>
          </c:tx>
          <c:spPr>
            <a:solidFill>
              <a:srgbClr val="EB6834"/>
            </a:solidFill>
            <a:ln w="6480">
              <a:solidFill>
                <a:srgbClr val="EB6834"/>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'Evidence Map'!$A$239:$A$242</c:f>
              <c:strCache>
                <c:ptCount val="4"/>
                <c:pt idx="0">
                  <c:v>Cybersickness / physical discomfort reported</c:v>
                </c:pt>
                <c:pt idx="1">
                  <c:v>Usability, behavioural or safety issues only</c:v>
                </c:pt>
                <c:pt idx="2">
                  <c:v>Explicitly none observed</c:v>
                </c:pt>
                <c:pt idx="3">
                  <c:v>Not reported</c:v>
                </c:pt>
              </c:strCache>
            </c:strRef>
          </c:cat>
          <c:val>
            <c:numRef>
              <c:f>'Evidence Map'!$C$239:$C$242</c:f>
              <c:numCache>
                <c:formatCode>General</c:formatCode>
                <c:ptCount val="4"/>
                <c:pt idx="0">
                  <c:v>3</c:v>
                </c:pt>
                <c:pt idx="1">
                  <c:v>9</c:v>
                </c:pt>
                <c:pt idx="2">
                  <c:v>3</c:v>
                </c:pt>
                <c:pt idx="3">
                  <c:v>6</c:v>
                </c:pt>
              </c:numCache>
            </c:numRef>
          </c:val>
          <c:extLst>
            <c:ext xmlns:c16="http://schemas.microsoft.com/office/drawing/2014/chart" uri="{C3380CC4-5D6E-409C-BE32-E72D297353CC}">
              <c16:uniqueId val="{00000001-FB7E-4A80-AD58-E7AF0856EC22}"/>
            </c:ext>
          </c:extLst>
        </c:ser>
        <c:dLbls>
          <c:showLegendKey val="0"/>
          <c:showVal val="0"/>
          <c:showCatName val="0"/>
          <c:showSerName val="0"/>
          <c:showPercent val="0"/>
          <c:showBubbleSize val="0"/>
        </c:dLbls>
        <c:gapWidth val="60"/>
        <c:axId val="5358150"/>
        <c:axId val="57573441"/>
      </c:barChart>
      <c:catAx>
        <c:axId val="5358150"/>
        <c:scaling>
          <c:orientation val="maxMin"/>
        </c:scaling>
        <c:delete val="0"/>
        <c:axPos val="l"/>
        <c:numFmt formatCode="General"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57573441"/>
        <c:crosses val="autoZero"/>
        <c:auto val="1"/>
        <c:lblAlgn val="ctr"/>
        <c:lblOffset val="100"/>
        <c:noMultiLvlLbl val="0"/>
      </c:catAx>
      <c:valAx>
        <c:axId val="57573441"/>
        <c:scaling>
          <c:orientation val="minMax"/>
        </c:scaling>
        <c:delete val="0"/>
        <c:axPos val="t"/>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Number of studies</a:t>
                </a:r>
              </a:p>
            </c:rich>
          </c:tx>
          <c:overlay val="0"/>
          <c:spPr>
            <a:noFill/>
            <a:ln w="0">
              <a:noFill/>
            </a:ln>
          </c:spPr>
        </c:title>
        <c:numFmt formatCode="General"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5358150"/>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Figure 18. RQ7 – Comparison condition</a:t>
            </a:r>
          </a:p>
        </c:rich>
      </c:tx>
      <c:overlay val="0"/>
      <c:spPr>
        <a:noFill/>
        <a:ln w="0">
          <a:noFill/>
        </a:ln>
      </c:spPr>
    </c:title>
    <c:autoTitleDeleted val="0"/>
    <c:plotArea>
      <c:layout/>
      <c:barChart>
        <c:barDir val="bar"/>
        <c:grouping val="clustered"/>
        <c:varyColors val="0"/>
        <c:ser>
          <c:idx val="0"/>
          <c:order val="0"/>
          <c:tx>
            <c:strRef>
              <c:f>'Evidence Map'!$B$185</c:f>
              <c:strCache>
                <c:ptCount val="1"/>
                <c:pt idx="0">
                  <c:v>Empirical studies (n = 32)</c:v>
                </c:pt>
              </c:strCache>
            </c:strRef>
          </c:tx>
          <c:spPr>
            <a:solidFill>
              <a:srgbClr val="2A78D6"/>
            </a:solidFill>
            <a:ln w="6480">
              <a:solidFill>
                <a:srgbClr val="2A78D6"/>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'Evidence Map'!$A$186:$A$190</c:f>
              <c:strCache>
                <c:ptCount val="5"/>
                <c:pt idx="0">
                  <c:v>None</c:v>
                </c:pt>
                <c:pt idx="1">
                  <c:v>Traditional teaching</c:v>
                </c:pt>
                <c:pt idx="2">
                  <c:v>Non-immersive digital</c:v>
                </c:pt>
                <c:pt idx="3">
                  <c:v>Traditional + non-immersive</c:v>
                </c:pt>
                <c:pt idx="4">
                  <c:v>Other XR</c:v>
                </c:pt>
              </c:strCache>
            </c:strRef>
          </c:cat>
          <c:val>
            <c:numRef>
              <c:f>'Evidence Map'!$B$186:$B$190</c:f>
              <c:numCache>
                <c:formatCode>General</c:formatCode>
                <c:ptCount val="5"/>
                <c:pt idx="0">
                  <c:v>23</c:v>
                </c:pt>
                <c:pt idx="1">
                  <c:v>2</c:v>
                </c:pt>
                <c:pt idx="2">
                  <c:v>4</c:v>
                </c:pt>
                <c:pt idx="3">
                  <c:v>1</c:v>
                </c:pt>
                <c:pt idx="4">
                  <c:v>2</c:v>
                </c:pt>
              </c:numCache>
            </c:numRef>
          </c:val>
          <c:extLst>
            <c:ext xmlns:c16="http://schemas.microsoft.com/office/drawing/2014/chart" uri="{C3380CC4-5D6E-409C-BE32-E72D297353CC}">
              <c16:uniqueId val="{00000000-033B-40AD-9B8C-1F09DDD35EDA}"/>
            </c:ext>
          </c:extLst>
        </c:ser>
        <c:ser>
          <c:idx val="1"/>
          <c:order val="1"/>
          <c:tx>
            <c:strRef>
              <c:f>'Evidence Map'!$C$185</c:f>
              <c:strCache>
                <c:ptCount val="1"/>
                <c:pt idx="0">
                  <c:v>Core set (n = 21)</c:v>
                </c:pt>
              </c:strCache>
            </c:strRef>
          </c:tx>
          <c:spPr>
            <a:solidFill>
              <a:srgbClr val="EB6834"/>
            </a:solidFill>
            <a:ln w="6480">
              <a:solidFill>
                <a:srgbClr val="EB6834"/>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'Evidence Map'!$A$186:$A$190</c:f>
              <c:strCache>
                <c:ptCount val="5"/>
                <c:pt idx="0">
                  <c:v>None</c:v>
                </c:pt>
                <c:pt idx="1">
                  <c:v>Traditional teaching</c:v>
                </c:pt>
                <c:pt idx="2">
                  <c:v>Non-immersive digital</c:v>
                </c:pt>
                <c:pt idx="3">
                  <c:v>Traditional + non-immersive</c:v>
                </c:pt>
                <c:pt idx="4">
                  <c:v>Other XR</c:v>
                </c:pt>
              </c:strCache>
            </c:strRef>
          </c:cat>
          <c:val>
            <c:numRef>
              <c:f>'Evidence Map'!$C$186:$C$190</c:f>
              <c:numCache>
                <c:formatCode>General</c:formatCode>
                <c:ptCount val="5"/>
                <c:pt idx="0">
                  <c:v>17</c:v>
                </c:pt>
                <c:pt idx="1">
                  <c:v>2</c:v>
                </c:pt>
                <c:pt idx="2">
                  <c:v>2</c:v>
                </c:pt>
                <c:pt idx="3">
                  <c:v>0</c:v>
                </c:pt>
                <c:pt idx="4">
                  <c:v>0</c:v>
                </c:pt>
              </c:numCache>
            </c:numRef>
          </c:val>
          <c:extLst>
            <c:ext xmlns:c16="http://schemas.microsoft.com/office/drawing/2014/chart" uri="{C3380CC4-5D6E-409C-BE32-E72D297353CC}">
              <c16:uniqueId val="{00000001-033B-40AD-9B8C-1F09DDD35EDA}"/>
            </c:ext>
          </c:extLst>
        </c:ser>
        <c:dLbls>
          <c:showLegendKey val="0"/>
          <c:showVal val="0"/>
          <c:showCatName val="0"/>
          <c:showSerName val="0"/>
          <c:showPercent val="0"/>
          <c:showBubbleSize val="0"/>
        </c:dLbls>
        <c:gapWidth val="60"/>
        <c:axId val="75952511"/>
        <c:axId val="2123665"/>
      </c:barChart>
      <c:catAx>
        <c:axId val="75952511"/>
        <c:scaling>
          <c:orientation val="maxMin"/>
        </c:scaling>
        <c:delete val="0"/>
        <c:axPos val="l"/>
        <c:numFmt formatCode="General"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2123665"/>
        <c:crosses val="autoZero"/>
        <c:auto val="1"/>
        <c:lblAlgn val="ctr"/>
        <c:lblOffset val="100"/>
        <c:noMultiLvlLbl val="0"/>
      </c:catAx>
      <c:valAx>
        <c:axId val="2123665"/>
        <c:scaling>
          <c:orientation val="minMax"/>
        </c:scaling>
        <c:delete val="0"/>
        <c:axPos val="t"/>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Number of studies</a:t>
                </a:r>
              </a:p>
            </c:rich>
          </c:tx>
          <c:overlay val="0"/>
          <c:spPr>
            <a:noFill/>
            <a:ln w="0">
              <a:noFill/>
            </a:ln>
          </c:spPr>
        </c:title>
        <c:numFmt formatCode="General" sourceLinked="1"/>
        <c:majorTickMark val="none"/>
        <c:minorTickMark val="none"/>
        <c:tickLblPos val="nextTo"/>
        <c:spPr>
          <a:ln w="6480">
            <a:solidFill>
              <a:srgbClr val="8B8B8B"/>
            </a:solidFill>
            <a:round/>
          </a:ln>
        </c:spPr>
        <c:txPr>
          <a:bodyPr/>
          <a:lstStyle/>
          <a:p>
            <a:pPr>
              <a:defRPr sz="1000" b="0" strike="noStrike" spc="-1">
                <a:solidFill>
                  <a:srgbClr val="000000"/>
                </a:solidFill>
                <a:latin typeface="Calibri"/>
              </a:defRPr>
            </a:pPr>
            <a:endParaRPr lang="en-US"/>
          </a:p>
        </c:txPr>
        <c:crossAx val="75952511"/>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12</xdr:col>
      <xdr:colOff>581400</xdr:colOff>
      <xdr:row>17</xdr:row>
      <xdr:rowOff>21960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21</xdr:row>
      <xdr:rowOff>0</xdr:rowOff>
    </xdr:from>
    <xdr:to>
      <xdr:col>12</xdr:col>
      <xdr:colOff>581400</xdr:colOff>
      <xdr:row>38</xdr:row>
      <xdr:rowOff>1440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42</xdr:row>
      <xdr:rowOff>0</xdr:rowOff>
    </xdr:from>
    <xdr:to>
      <xdr:col>12</xdr:col>
      <xdr:colOff>581400</xdr:colOff>
      <xdr:row>66</xdr:row>
      <xdr:rowOff>143640</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71</xdr:row>
      <xdr:rowOff>0</xdr:rowOff>
    </xdr:from>
    <xdr:to>
      <xdr:col>12</xdr:col>
      <xdr:colOff>581400</xdr:colOff>
      <xdr:row>95</xdr:row>
      <xdr:rowOff>143640</xdr:rowOff>
    </xdr:to>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100</xdr:row>
      <xdr:rowOff>0</xdr:rowOff>
    </xdr:from>
    <xdr:to>
      <xdr:col>12</xdr:col>
      <xdr:colOff>581400</xdr:colOff>
      <xdr:row>146</xdr:row>
      <xdr:rowOff>164880</xdr:rowOff>
    </xdr:to>
    <xdr:graphicFrame macro="">
      <xdr:nvGraphicFramePr>
        <xdr:cNvPr id="6" name="Chart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152</xdr:row>
      <xdr:rowOff>0</xdr:rowOff>
    </xdr:from>
    <xdr:to>
      <xdr:col>12</xdr:col>
      <xdr:colOff>581400</xdr:colOff>
      <xdr:row>169</xdr:row>
      <xdr:rowOff>181080</xdr:rowOff>
    </xdr:to>
    <xdr:graphicFrame macro="">
      <xdr:nvGraphicFramePr>
        <xdr:cNvPr id="7" name="Chart 6">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174</xdr:row>
      <xdr:rowOff>0</xdr:rowOff>
    </xdr:from>
    <xdr:to>
      <xdr:col>12</xdr:col>
      <xdr:colOff>581400</xdr:colOff>
      <xdr:row>191</xdr:row>
      <xdr:rowOff>1080</xdr:rowOff>
    </xdr:to>
    <xdr:graphicFrame macro="">
      <xdr:nvGraphicFramePr>
        <xdr:cNvPr id="8" name="Chart 7">
          <a:extLst>
            <a:ext uri="{FF2B5EF4-FFF2-40B4-BE49-F238E27FC236}">
              <a16:creationId xmlns:a16="http://schemas.microsoft.com/office/drawing/2014/main" id="{00000000-0008-0000-02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195</xdr:row>
      <xdr:rowOff>0</xdr:rowOff>
    </xdr:from>
    <xdr:to>
      <xdr:col>12</xdr:col>
      <xdr:colOff>581400</xdr:colOff>
      <xdr:row>210</xdr:row>
      <xdr:rowOff>22320</xdr:rowOff>
    </xdr:to>
    <xdr:graphicFrame macro="">
      <xdr:nvGraphicFramePr>
        <xdr:cNvPr id="9" name="Chart 8">
          <a:extLst>
            <a:ext uri="{FF2B5EF4-FFF2-40B4-BE49-F238E27FC236}">
              <a16:creationId xmlns:a16="http://schemas.microsoft.com/office/drawing/2014/main" id="{00000000-0008-0000-02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0</xdr:colOff>
      <xdr:row>214</xdr:row>
      <xdr:rowOff>0</xdr:rowOff>
    </xdr:from>
    <xdr:to>
      <xdr:col>12</xdr:col>
      <xdr:colOff>581400</xdr:colOff>
      <xdr:row>229</xdr:row>
      <xdr:rowOff>22320</xdr:rowOff>
    </xdr:to>
    <xdr:graphicFrame macro="">
      <xdr:nvGraphicFramePr>
        <xdr:cNvPr id="10" name="Chart 9">
          <a:extLst>
            <a:ext uri="{FF2B5EF4-FFF2-40B4-BE49-F238E27FC236}">
              <a16:creationId xmlns:a16="http://schemas.microsoft.com/office/drawing/2014/main" id="{00000000-0008-0000-02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0</xdr:colOff>
      <xdr:row>233</xdr:row>
      <xdr:rowOff>0</xdr:rowOff>
    </xdr:from>
    <xdr:to>
      <xdr:col>12</xdr:col>
      <xdr:colOff>581400</xdr:colOff>
      <xdr:row>259</xdr:row>
      <xdr:rowOff>86760</xdr:rowOff>
    </xdr:to>
    <xdr:graphicFrame macro="">
      <xdr:nvGraphicFramePr>
        <xdr:cNvPr id="11" name="Chart 10">
          <a:extLst>
            <a:ext uri="{FF2B5EF4-FFF2-40B4-BE49-F238E27FC236}">
              <a16:creationId xmlns:a16="http://schemas.microsoft.com/office/drawing/2014/main" id="{00000000-0008-0000-02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0</xdr:colOff>
      <xdr:row>264</xdr:row>
      <xdr:rowOff>0</xdr:rowOff>
    </xdr:from>
    <xdr:to>
      <xdr:col>12</xdr:col>
      <xdr:colOff>581400</xdr:colOff>
      <xdr:row>282</xdr:row>
      <xdr:rowOff>152640</xdr:rowOff>
    </xdr:to>
    <xdr:graphicFrame macro="">
      <xdr:nvGraphicFramePr>
        <xdr:cNvPr id="12" name="Chart 11">
          <a:extLst>
            <a:ext uri="{FF2B5EF4-FFF2-40B4-BE49-F238E27FC236}">
              <a16:creationId xmlns:a16="http://schemas.microsoft.com/office/drawing/2014/main" id="{00000000-0008-0000-02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0</xdr:colOff>
      <xdr:row>286</xdr:row>
      <xdr:rowOff>0</xdr:rowOff>
    </xdr:from>
    <xdr:to>
      <xdr:col>12</xdr:col>
      <xdr:colOff>581400</xdr:colOff>
      <xdr:row>303</xdr:row>
      <xdr:rowOff>181080</xdr:rowOff>
    </xdr:to>
    <xdr:graphicFrame macro="">
      <xdr:nvGraphicFramePr>
        <xdr:cNvPr id="13" name="Chart 12">
          <a:extLst>
            <a:ext uri="{FF2B5EF4-FFF2-40B4-BE49-F238E27FC236}">
              <a16:creationId xmlns:a16="http://schemas.microsoft.com/office/drawing/2014/main" id="{00000000-0008-0000-02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0</xdr:colOff>
      <xdr:row>308</xdr:row>
      <xdr:rowOff>0</xdr:rowOff>
    </xdr:from>
    <xdr:to>
      <xdr:col>12</xdr:col>
      <xdr:colOff>581400</xdr:colOff>
      <xdr:row>323</xdr:row>
      <xdr:rowOff>21960</xdr:rowOff>
    </xdr:to>
    <xdr:graphicFrame macro="">
      <xdr:nvGraphicFramePr>
        <xdr:cNvPr id="14" name="Chart 13">
          <a:extLst>
            <a:ext uri="{FF2B5EF4-FFF2-40B4-BE49-F238E27FC236}">
              <a16:creationId xmlns:a16="http://schemas.microsoft.com/office/drawing/2014/main" id="{00000000-0008-0000-02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0</xdr:col>
      <xdr:colOff>0</xdr:colOff>
      <xdr:row>327</xdr:row>
      <xdr:rowOff>0</xdr:rowOff>
    </xdr:from>
    <xdr:to>
      <xdr:col>12</xdr:col>
      <xdr:colOff>581400</xdr:colOff>
      <xdr:row>344</xdr:row>
      <xdr:rowOff>1440</xdr:rowOff>
    </xdr:to>
    <xdr:graphicFrame macro="">
      <xdr:nvGraphicFramePr>
        <xdr:cNvPr id="15" name="Chart 14">
          <a:extLst>
            <a:ext uri="{FF2B5EF4-FFF2-40B4-BE49-F238E27FC236}">
              <a16:creationId xmlns:a16="http://schemas.microsoft.com/office/drawing/2014/main" id="{00000000-0008-0000-02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0</xdr:col>
      <xdr:colOff>0</xdr:colOff>
      <xdr:row>348</xdr:row>
      <xdr:rowOff>0</xdr:rowOff>
    </xdr:from>
    <xdr:to>
      <xdr:col>12</xdr:col>
      <xdr:colOff>581400</xdr:colOff>
      <xdr:row>365</xdr:row>
      <xdr:rowOff>1080</xdr:rowOff>
    </xdr:to>
    <xdr:graphicFrame macro="">
      <xdr:nvGraphicFramePr>
        <xdr:cNvPr id="16" name="Chart 15">
          <a:extLst>
            <a:ext uri="{FF2B5EF4-FFF2-40B4-BE49-F238E27FC236}">
              <a16:creationId xmlns:a16="http://schemas.microsoft.com/office/drawing/2014/main" id="{00000000-0008-0000-02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0</xdr:col>
      <xdr:colOff>0</xdr:colOff>
      <xdr:row>369</xdr:row>
      <xdr:rowOff>0</xdr:rowOff>
    </xdr:from>
    <xdr:to>
      <xdr:col>12</xdr:col>
      <xdr:colOff>581400</xdr:colOff>
      <xdr:row>384</xdr:row>
      <xdr:rowOff>22320</xdr:rowOff>
    </xdr:to>
    <xdr:graphicFrame macro="">
      <xdr:nvGraphicFramePr>
        <xdr:cNvPr id="17" name="Chart 16">
          <a:extLst>
            <a:ext uri="{FF2B5EF4-FFF2-40B4-BE49-F238E27FC236}">
              <a16:creationId xmlns:a16="http://schemas.microsoft.com/office/drawing/2014/main" id="{00000000-0008-0000-02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0</xdr:col>
      <xdr:colOff>0</xdr:colOff>
      <xdr:row>388</xdr:row>
      <xdr:rowOff>0</xdr:rowOff>
    </xdr:from>
    <xdr:to>
      <xdr:col>12</xdr:col>
      <xdr:colOff>581400</xdr:colOff>
      <xdr:row>403</xdr:row>
      <xdr:rowOff>22320</xdr:rowOff>
    </xdr:to>
    <xdr:graphicFrame macro="">
      <xdr:nvGraphicFramePr>
        <xdr:cNvPr id="18" name="Chart 17">
          <a:extLst>
            <a:ext uri="{FF2B5EF4-FFF2-40B4-BE49-F238E27FC236}">
              <a16:creationId xmlns:a16="http://schemas.microsoft.com/office/drawing/2014/main" id="{00000000-0008-0000-02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0</xdr:col>
      <xdr:colOff>0</xdr:colOff>
      <xdr:row>407</xdr:row>
      <xdr:rowOff>0</xdr:rowOff>
    </xdr:from>
    <xdr:to>
      <xdr:col>12</xdr:col>
      <xdr:colOff>581400</xdr:colOff>
      <xdr:row>422</xdr:row>
      <xdr:rowOff>22320</xdr:rowOff>
    </xdr:to>
    <xdr:graphicFrame macro="">
      <xdr:nvGraphicFramePr>
        <xdr:cNvPr id="19" name="Chart 18">
          <a:extLst>
            <a:ext uri="{FF2B5EF4-FFF2-40B4-BE49-F238E27FC236}">
              <a16:creationId xmlns:a16="http://schemas.microsoft.com/office/drawing/2014/main" id="{00000000-0008-0000-02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3" Type="http://schemas.openxmlformats.org/officeDocument/2006/relationships/hyperlink" Target="https://www.scopus.com/inward/record.uri?eid=2-s2.0-85195683071&amp;doi=10.1109%2FICEIT61397.2024.10540855&amp;partnerID=40&amp;md5=867d699250877711546b4e45774bd3d8" TargetMode="External"/><Relationship Id="rId18" Type="http://schemas.openxmlformats.org/officeDocument/2006/relationships/hyperlink" Target="https://www.scopus.com/inward/record.uri?eid=2-s2.0-85159690491&amp;doi=10.1109%2FVRW58643.2023.00203&amp;partnerID=40&amp;md5=ee7e78367713c54e3c9603ae2f96ad97" TargetMode="External"/><Relationship Id="rId26" Type="http://schemas.openxmlformats.org/officeDocument/2006/relationships/hyperlink" Target="https://www.scopus.com/inward/record.uri?eid=2-s2.0-85112459956&amp;doi=10.1109%2FICOT51877.2020.9468720&amp;partnerID=40&amp;md5=ec1f3148fb466d31f37f156373a6dfb9" TargetMode="External"/><Relationship Id="rId39" Type="http://schemas.openxmlformats.org/officeDocument/2006/relationships/hyperlink" Target="https://www.scopus.com/inward/record.uri?eid=2-s2.0-85085874226&amp;doi=10.1007%2Fs11042-020-09051-w&amp;partnerID=40&amp;md5=1dd676b2769f35d92da28167c6e0768d" TargetMode="External"/><Relationship Id="rId21" Type="http://schemas.openxmlformats.org/officeDocument/2006/relationships/hyperlink" Target="https://www.scopus.com/inward/record.uri?eid=2-s2.0-85171859846&amp;doi=10.52842%2Fconf.caadria.2022.1.069&amp;partnerID=40&amp;md5=bbf991dd49c7e6803b71cb8e791cdcf8" TargetMode="External"/><Relationship Id="rId34" Type="http://schemas.openxmlformats.org/officeDocument/2006/relationships/hyperlink" Target="https://www.scopus.com/inward/record.uri?eid=2-s2.0-85086244789&amp;doi=10.1109%2FITNEC48623.2020.9085016&amp;partnerID=40&amp;md5=548abb6152acb78a039984446a2b35f9" TargetMode="External"/><Relationship Id="rId42" Type="http://schemas.openxmlformats.org/officeDocument/2006/relationships/hyperlink" Target="https://www.scopus.com/inward/record.uri?eid=2-s2.0-85094319640&amp;doi=10.1109%2FICVRV47840.2019.00036&amp;partnerID=40&amp;md5=c600b78a45de1bba22f7963ed3504af8" TargetMode="External"/><Relationship Id="rId47" Type="http://schemas.openxmlformats.org/officeDocument/2006/relationships/comments" Target="../comments1.xml"/><Relationship Id="rId7" Type="http://schemas.openxmlformats.org/officeDocument/2006/relationships/hyperlink" Target="https://www.scopus.com/inward/record.uri?eid=2-s2.0-85125306776&amp;doi=10.1109%2FACIT53391.2021.9677136&amp;partnerID=40&amp;md5=16472fef46bf1b3d20d096e99bcc434b" TargetMode="External"/><Relationship Id="rId2" Type="http://schemas.openxmlformats.org/officeDocument/2006/relationships/hyperlink" Target="https://www.scopus.com/inward/record.uri?eid=2-s2.0-85174240307&amp;doi=10.1007%2Fs11423-023-10300-6&amp;partnerID=40&amp;md5=d42e39e94437a741283692aedd7cf464" TargetMode="External"/><Relationship Id="rId16" Type="http://schemas.openxmlformats.org/officeDocument/2006/relationships/hyperlink" Target="https://www.scopus.com/inward/record.uri?eid=2-s2.0-85187231317&amp;doi=10.1109%2FAIxVR59861.2024.00013&amp;partnerID=40&amp;md5=6890cd9ac39d85f3dbe3537ca00ffd1c" TargetMode="External"/><Relationship Id="rId29" Type="http://schemas.openxmlformats.org/officeDocument/2006/relationships/hyperlink" Target="https://www.scopus.com/inward/record.uri?eid=2-s2.0-85053840416&amp;doi=10.1109%2FVR.2018.8446412&amp;partnerID=40&amp;md5=8ec84811250187048cfe18dcb453989b" TargetMode="External"/><Relationship Id="rId1" Type="http://schemas.openxmlformats.org/officeDocument/2006/relationships/hyperlink" Target="https://www.scopus.com/inward/record.uri?eid=2-s2.0-85219552594&amp;doi=10.1109%2FSCOReD64708.2024.10872679&amp;partnerID=40&amp;md5=187cbbb42c76a164a4f1ddcf9e3eaf41" TargetMode="External"/><Relationship Id="rId6" Type="http://schemas.openxmlformats.org/officeDocument/2006/relationships/hyperlink" Target="https://www.scopus.com/inward/record.uri?eid=2-s2.0-85125346674&amp;doi=10.1109%2FBigData52589.2021.9671565&amp;partnerID=40&amp;md5=3262ab5eaab21d93720caab5df6984db" TargetMode="External"/><Relationship Id="rId11" Type="http://schemas.openxmlformats.org/officeDocument/2006/relationships/hyperlink" Target="https://www.scopus.com/inward/record.uri?eid=2-s2.0-85050366011&amp;doi=10.1007%2F978-3-319-95270-3_34&amp;partnerID=40&amp;md5=f6918b1700b8658fed0824b136db3094" TargetMode="External"/><Relationship Id="rId24" Type="http://schemas.openxmlformats.org/officeDocument/2006/relationships/hyperlink" Target="https://www.scopus.com/inward/record.uri?eid=2-s2.0-85138240346&amp;partnerID=40&amp;md5=4368c8b9b699ca1b21253d89eae0dd24" TargetMode="External"/><Relationship Id="rId32" Type="http://schemas.openxmlformats.org/officeDocument/2006/relationships/hyperlink" Target="https://www.scopus.com/inward/record.uri?eid=2-s2.0-85175980074&amp;doi=10.1109%2FICIMTech59029.2023.10277914&amp;partnerID=40&amp;md5=e1ee5849cf2f2cb18c690d2a056e4254" TargetMode="External"/><Relationship Id="rId37" Type="http://schemas.openxmlformats.org/officeDocument/2006/relationships/hyperlink" Target="https://www.scopus.com/inward/record.uri?eid=2-s2.0-85146048306&amp;doi=10.1109%2FISMAR-Adjunct57072.2022.00183&amp;partnerID=40&amp;md5=7ec942ce89ec8e433d80fad1e19edd33" TargetMode="External"/><Relationship Id="rId40" Type="http://schemas.openxmlformats.org/officeDocument/2006/relationships/hyperlink" Target="https://www.scopus.com/inward/record.uri?eid=2-s2.0-85104195037&amp;doi=10.1088%2F1755-1315%2F704%2F1%2F012019&amp;partnerID=40&amp;md5=0efa30b1724cd50f3375e988bf114e29" TargetMode="External"/><Relationship Id="rId45" Type="http://schemas.openxmlformats.org/officeDocument/2006/relationships/hyperlink" Target="https://www.scopus.com/inward/record.uri?eid=2-s2.0-84940703967&amp;doi=10.3390%2Fs150921760&amp;partnerID=40&amp;md5=5e379b83bb8f0eb9cd586c4bd4da1568" TargetMode="External"/><Relationship Id="rId5" Type="http://schemas.openxmlformats.org/officeDocument/2006/relationships/hyperlink" Target="https://www.scopus.com/inward/record.uri?eid=2-s2.0-85138707720&amp;doi=10.1109%2FICISIT54091.2022.9872873&amp;partnerID=40&amp;md5=8ae1c292061e4c48976330bee99704e2" TargetMode="External"/><Relationship Id="rId15" Type="http://schemas.openxmlformats.org/officeDocument/2006/relationships/hyperlink" Target="https://www.scopus.com/inward/record.uri?eid=2-s2.0-85207206514&amp;doi=10.1109%2FICoICI62503.2024.10696244&amp;partnerID=40&amp;md5=0255c9a51708a670f46842ecb6f29ed3" TargetMode="External"/><Relationship Id="rId23" Type="http://schemas.openxmlformats.org/officeDocument/2006/relationships/hyperlink" Target="https://www.scopus.com/inward/record.uri?eid=2-s2.0-85130484039&amp;doi=10.1109%2FEDUCON52537.2022.9766679&amp;partnerID=40&amp;md5=71267bf685b69f91448badd57af0fbf7" TargetMode="External"/><Relationship Id="rId28" Type="http://schemas.openxmlformats.org/officeDocument/2006/relationships/hyperlink" Target="https://www.scopus.com/inward/record.uri?eid=2-s2.0-85071875248&amp;doi=10.1109%2FVR.2019.8797734&amp;partnerID=40&amp;md5=211c0e9166074827d0ea7aa2ff57063d" TargetMode="External"/><Relationship Id="rId36" Type="http://schemas.openxmlformats.org/officeDocument/2006/relationships/hyperlink" Target="https://www.scopus.com/inward/record.uri?eid=2-s2.0-85197264810&amp;doi=10.14445%2F22315381%2FIJETT-V72I6P101&amp;partnerID=40&amp;md5=8b9475b441da03bc811d1cb815518408" TargetMode="External"/><Relationship Id="rId10" Type="http://schemas.openxmlformats.org/officeDocument/2006/relationships/hyperlink" Target="https://www.scopus.com/inward/record.uri?eid=2-s2.0-85073688888&amp;doi=10.1016%2Fj.daach.2019.e00124&amp;partnerID=40&amp;md5=2d25bfe8c53a320588b58857c7b316dd" TargetMode="External"/><Relationship Id="rId19" Type="http://schemas.openxmlformats.org/officeDocument/2006/relationships/hyperlink" Target="https://www.scopus.com/inward/record.uri?eid=2-s2.0-85175731110&amp;doi=10.1109%2FICOSEC58147.2023.10275853&amp;partnerID=40&amp;md5=2f7575977bb29fcd6c40daa2998c5b22" TargetMode="External"/><Relationship Id="rId31" Type="http://schemas.openxmlformats.org/officeDocument/2006/relationships/hyperlink" Target="https://www.scopus.com/inward/record.uri?eid=2-s2.0-85180013745&amp;doi=10.1145%2F3617553.3617886&amp;partnerID=40&amp;md5=338859720a7570ac974d211c33fc2b77" TargetMode="External"/><Relationship Id="rId44" Type="http://schemas.openxmlformats.org/officeDocument/2006/relationships/hyperlink" Target="https://www.scopus.com/inward/record.uri?eid=2-s2.0-85025125447&amp;doi=10.1007%2F978-3-319-58637-3_38&amp;partnerID=40&amp;md5=2c29192cdec5ffa0662fc47a1437f4a2" TargetMode="External"/><Relationship Id="rId4" Type="http://schemas.openxmlformats.org/officeDocument/2006/relationships/hyperlink" Target="https://www.scopus.com/inward/record.uri?eid=2-s2.0-85175262404&amp;doi=10.24215%2F16666038.23.e09&amp;partnerID=40&amp;md5=0ca6877443268c3ffee6318a6d34bd7f" TargetMode="External"/><Relationship Id="rId9" Type="http://schemas.openxmlformats.org/officeDocument/2006/relationships/hyperlink" Target="https://www.scopus.com/inward/record.uri?eid=2-s2.0-85091671712&amp;doi=10.23919%2FiLRN47897.2020.9155098&amp;partnerID=40&amp;md5=c435c67f50260aa89dae3b470ab8e747" TargetMode="External"/><Relationship Id="rId14" Type="http://schemas.openxmlformats.org/officeDocument/2006/relationships/hyperlink" Target="https://www.scopus.com/inward/record.uri?eid=2-s2.0-85207260177&amp;doi=10.57239%2FPJLSS-2024-22.2.00556&amp;partnerID=40&amp;md5=22c640bcbf6a9c19da4eb3c263bc5617" TargetMode="External"/><Relationship Id="rId22" Type="http://schemas.openxmlformats.org/officeDocument/2006/relationships/hyperlink" Target="https://www.scopus.com/inward/record.uri?eid=2-s2.0-85143344739&amp;doi=10.1155%2F2022%2F7483566&amp;partnerID=40&amp;md5=1504091351c43d941d37a4276a939c60" TargetMode="External"/><Relationship Id="rId27" Type="http://schemas.openxmlformats.org/officeDocument/2006/relationships/hyperlink" Target="https://www.scopus.com/inward/record.uri?eid=2-s2.0-85071839854&amp;doi=10.1109%2FVR.2019.8797841&amp;partnerID=40&amp;md5=42304e0c8e19492164e521b0b389811f" TargetMode="External"/><Relationship Id="rId30" Type="http://schemas.openxmlformats.org/officeDocument/2006/relationships/hyperlink" Target="https://www.scopus.com/inward/record.uri?eid=2-s2.0-85151414483&amp;doi=10.1007%2Fs10639-023-11747-z&amp;partnerID=40&amp;md5=c225084e8936b9988069838e2c1f1f7d" TargetMode="External"/><Relationship Id="rId35" Type="http://schemas.openxmlformats.org/officeDocument/2006/relationships/hyperlink" Target="https://www.scopus.com/inward/record.uri?eid=2-s2.0-85175239476&amp;doi=10.3390%2Felectronics12204283&amp;partnerID=40&amp;md5=ff80a39764837c1af8ab6b38e9db24ca" TargetMode="External"/><Relationship Id="rId43" Type="http://schemas.openxmlformats.org/officeDocument/2006/relationships/hyperlink" Target="https://www.scopus.com/inward/record.uri?eid=2-s2.0-85023771153&amp;doi=10.1166%2Fasl.2017.8299&amp;partnerID=40&amp;md5=f67b67f5aad0dcbb01c9ee4d3ae77b29" TargetMode="External"/><Relationship Id="rId8" Type="http://schemas.openxmlformats.org/officeDocument/2006/relationships/hyperlink" Target="https://www.scopus.com/inward/record.uri?eid=2-s2.0-85089164020&amp;doi=10.1007%2F978-3-030-49698-2_3&amp;partnerID=40&amp;md5=7860795cd09e9cb1eea31b3127280326" TargetMode="External"/><Relationship Id="rId3" Type="http://schemas.openxmlformats.org/officeDocument/2006/relationships/hyperlink" Target="https://www.scopus.com/inward/record.uri?eid=2-s2.0-85179311876&amp;doi=10.1007%2Fs11042-023-17756-x&amp;partnerID=40&amp;md5=1173b72cd0c5cc55d1d20e7a1500440b" TargetMode="External"/><Relationship Id="rId12" Type="http://schemas.openxmlformats.org/officeDocument/2006/relationships/hyperlink" Target="https://www.scopus.com/inward/record.uri?eid=2-s2.0-85196053652&amp;partnerID=40&amp;md5=1b278a73ddc1dbe6730ffbc1504386fd" TargetMode="External"/><Relationship Id="rId17" Type="http://schemas.openxmlformats.org/officeDocument/2006/relationships/hyperlink" Target="https://www.scopus.com/inward/record.uri?eid=2-s2.0-85180371809&amp;doi=10.1109%2FISMAR-Adjunct60411.2023.00180&amp;partnerID=40&amp;md5=4f363c3f1f8bfaf0057047a27ec19a7d" TargetMode="External"/><Relationship Id="rId25" Type="http://schemas.openxmlformats.org/officeDocument/2006/relationships/hyperlink" Target="https://www.scopus.com/inward/record.uri?eid=2-s2.0-85105973322&amp;doi=10.1109%2FVRW52623.2021.00230&amp;partnerID=40&amp;md5=ae686225cb4c14cb5c198a6b4cfc54e2" TargetMode="External"/><Relationship Id="rId33" Type="http://schemas.openxmlformats.org/officeDocument/2006/relationships/hyperlink" Target="https://www.scopus.com/inward/record.uri?eid=2-s2.0-85183470784&amp;doi=10.1109%2FICIC60109.2023.10382058&amp;partnerID=40&amp;md5=3c1f78b33ba219ec1f7ea0f1aeedde12" TargetMode="External"/><Relationship Id="rId38" Type="http://schemas.openxmlformats.org/officeDocument/2006/relationships/hyperlink" Target="https://www.scopus.com/inward/record.uri?eid=2-s2.0-85146719989&amp;doi=10.1109%2FCONTIE56301.2022.10004411&amp;partnerID=40&amp;md5=0a8fac0b007bac541ef50d279a414cd9" TargetMode="External"/><Relationship Id="rId46" Type="http://schemas.openxmlformats.org/officeDocument/2006/relationships/vmlDrawing" Target="../drawings/vmlDrawing1.vml"/><Relationship Id="rId20" Type="http://schemas.openxmlformats.org/officeDocument/2006/relationships/hyperlink" Target="https://www.scopus.com/inward/record.uri?eid=2-s2.0-85184477574&amp;doi=10.18489%2Fsacj.v35i2.17442&amp;partnerID=40&amp;md5=92924614954f8f47f1529439bd00e823" TargetMode="External"/><Relationship Id="rId41" Type="http://schemas.openxmlformats.org/officeDocument/2006/relationships/hyperlink" Target="https://www.scopus.com/inward/record.uri?eid=2-s2.0-85071833059&amp;doi=10.1109%2FVR.2019.8797908&amp;partnerID=40&amp;md5=3af7e9237710382d398242282569c3a3"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3"/>
  <sheetViews>
    <sheetView tabSelected="1" zoomScaleNormal="100" workbookViewId="0">
      <selection activeCell="B43" sqref="B43"/>
    </sheetView>
  </sheetViews>
  <sheetFormatPr defaultColWidth="8.7109375" defaultRowHeight="15" x14ac:dyDescent="0.25"/>
  <cols>
    <col min="1" max="1" width="8" customWidth="1"/>
    <col min="2" max="2" width="40" customWidth="1"/>
    <col min="3" max="3" width="120" customWidth="1"/>
  </cols>
  <sheetData>
    <row r="1" spans="1:3" ht="23.25" x14ac:dyDescent="0.35">
      <c r="A1" s="31" t="s">
        <v>0</v>
      </c>
      <c r="B1" s="31"/>
      <c r="C1" s="31"/>
    </row>
    <row r="3" spans="1:3" ht="22.5" customHeight="1" x14ac:dyDescent="0.25">
      <c r="A3" s="30" t="s">
        <v>1</v>
      </c>
      <c r="B3" s="30"/>
      <c r="C3" s="30"/>
    </row>
    <row r="4" spans="1:3" ht="30" customHeight="1" x14ac:dyDescent="0.25">
      <c r="A4" s="29" t="s">
        <v>2</v>
      </c>
      <c r="B4" s="29"/>
      <c r="C4" s="29"/>
    </row>
    <row r="5" spans="1:3" ht="30" customHeight="1" x14ac:dyDescent="0.25">
      <c r="A5" s="29" t="s">
        <v>3</v>
      </c>
      <c r="B5" s="29"/>
      <c r="C5" s="29"/>
    </row>
    <row r="6" spans="1:3" ht="30" customHeight="1" x14ac:dyDescent="0.25">
      <c r="A6" s="29" t="s">
        <v>4</v>
      </c>
      <c r="B6" s="29"/>
      <c r="C6" s="29"/>
    </row>
    <row r="8" spans="1:3" ht="30" customHeight="1" x14ac:dyDescent="0.25">
      <c r="A8" s="29" t="s">
        <v>5</v>
      </c>
      <c r="B8" s="29"/>
      <c r="C8" s="29"/>
    </row>
    <row r="9" spans="1:3" ht="30" customHeight="1" x14ac:dyDescent="0.25">
      <c r="A9" s="29" t="s">
        <v>6</v>
      </c>
      <c r="B9" s="29"/>
      <c r="C9" s="29"/>
    </row>
    <row r="10" spans="1:3" ht="45.75" customHeight="1" x14ac:dyDescent="0.25">
      <c r="A10" s="29" t="s">
        <v>7</v>
      </c>
      <c r="B10" s="29"/>
      <c r="C10" s="29"/>
    </row>
    <row r="12" spans="1:3" x14ac:dyDescent="0.25">
      <c r="A12" s="3" t="s">
        <v>8</v>
      </c>
      <c r="B12" s="3" t="s">
        <v>9</v>
      </c>
      <c r="C12" s="3" t="s">
        <v>10</v>
      </c>
    </row>
    <row r="13" spans="1:3" x14ac:dyDescent="0.25">
      <c r="A13" s="4" t="s">
        <v>11</v>
      </c>
      <c r="B13" s="1" t="s">
        <v>12</v>
      </c>
      <c r="C13" s="1" t="s">
        <v>13</v>
      </c>
    </row>
    <row r="14" spans="1:3" x14ac:dyDescent="0.25">
      <c r="A14" s="4" t="s">
        <v>11</v>
      </c>
      <c r="B14" s="1" t="s">
        <v>14</v>
      </c>
      <c r="C14" s="1" t="s">
        <v>15</v>
      </c>
    </row>
    <row r="15" spans="1:3" ht="25.5" x14ac:dyDescent="0.25">
      <c r="A15" s="4" t="s">
        <v>11</v>
      </c>
      <c r="B15" s="1" t="s">
        <v>16</v>
      </c>
      <c r="C15" s="1" t="s">
        <v>17</v>
      </c>
    </row>
    <row r="16" spans="1:3" x14ac:dyDescent="0.25">
      <c r="A16" s="4" t="s">
        <v>11</v>
      </c>
      <c r="B16" s="1" t="s">
        <v>18</v>
      </c>
      <c r="C16" s="1" t="s">
        <v>19</v>
      </c>
    </row>
    <row r="17" spans="1:3" x14ac:dyDescent="0.25">
      <c r="A17" s="4" t="s">
        <v>11</v>
      </c>
      <c r="B17" s="1" t="s">
        <v>20</v>
      </c>
      <c r="C17" s="1" t="s">
        <v>21</v>
      </c>
    </row>
    <row r="18" spans="1:3" x14ac:dyDescent="0.25">
      <c r="A18" s="4" t="s">
        <v>11</v>
      </c>
      <c r="B18" s="1" t="s">
        <v>22</v>
      </c>
      <c r="C18" s="1" t="s">
        <v>23</v>
      </c>
    </row>
    <row r="19" spans="1:3" x14ac:dyDescent="0.25">
      <c r="A19" s="5" t="s">
        <v>24</v>
      </c>
      <c r="B19" s="1" t="s">
        <v>25</v>
      </c>
      <c r="C19" s="1" t="s">
        <v>26</v>
      </c>
    </row>
    <row r="20" spans="1:3" ht="25.5" x14ac:dyDescent="0.25">
      <c r="A20" s="5" t="s">
        <v>24</v>
      </c>
      <c r="B20" s="1" t="s">
        <v>27</v>
      </c>
      <c r="C20" s="1" t="s">
        <v>28</v>
      </c>
    </row>
    <row r="21" spans="1:3" x14ac:dyDescent="0.25">
      <c r="A21" s="5" t="s">
        <v>24</v>
      </c>
      <c r="B21" s="1" t="s">
        <v>29</v>
      </c>
      <c r="C21" s="1" t="s">
        <v>30</v>
      </c>
    </row>
    <row r="22" spans="1:3" x14ac:dyDescent="0.25">
      <c r="A22" s="5" t="s">
        <v>24</v>
      </c>
      <c r="B22" s="1" t="s">
        <v>31</v>
      </c>
      <c r="C22" s="1" t="s">
        <v>32</v>
      </c>
    </row>
    <row r="23" spans="1:3" ht="25.5" x14ac:dyDescent="0.25">
      <c r="A23" s="5" t="s">
        <v>24</v>
      </c>
      <c r="B23" s="1" t="s">
        <v>33</v>
      </c>
      <c r="C23" s="1" t="s">
        <v>34</v>
      </c>
    </row>
    <row r="24" spans="1:3" ht="25.5" x14ac:dyDescent="0.25">
      <c r="A24" s="5" t="s">
        <v>24</v>
      </c>
      <c r="B24" s="1" t="s">
        <v>35</v>
      </c>
      <c r="C24" s="1" t="s">
        <v>36</v>
      </c>
    </row>
    <row r="25" spans="1:3" ht="25.5" x14ac:dyDescent="0.25">
      <c r="A25" s="5" t="s">
        <v>24</v>
      </c>
      <c r="B25" s="1" t="s">
        <v>37</v>
      </c>
      <c r="C25" s="1" t="s">
        <v>38</v>
      </c>
    </row>
    <row r="26" spans="1:3" x14ac:dyDescent="0.25">
      <c r="A26" s="5" t="s">
        <v>24</v>
      </c>
      <c r="B26" s="1" t="s">
        <v>39</v>
      </c>
      <c r="C26" s="1" t="s">
        <v>40</v>
      </c>
    </row>
    <row r="27" spans="1:3" x14ac:dyDescent="0.25">
      <c r="A27" s="5" t="s">
        <v>24</v>
      </c>
      <c r="B27" s="1" t="s">
        <v>41</v>
      </c>
      <c r="C27" s="1" t="s">
        <v>42</v>
      </c>
    </row>
    <row r="28" spans="1:3" x14ac:dyDescent="0.25">
      <c r="A28" s="5" t="s">
        <v>24</v>
      </c>
      <c r="B28" s="1" t="s">
        <v>43</v>
      </c>
      <c r="C28" s="1" t="s">
        <v>44</v>
      </c>
    </row>
    <row r="29" spans="1:3" x14ac:dyDescent="0.25">
      <c r="A29" s="5" t="s">
        <v>24</v>
      </c>
      <c r="B29" s="1" t="s">
        <v>45</v>
      </c>
      <c r="C29" s="1" t="s">
        <v>46</v>
      </c>
    </row>
    <row r="30" spans="1:3" ht="25.5" x14ac:dyDescent="0.25">
      <c r="A30" s="5" t="s">
        <v>24</v>
      </c>
      <c r="B30" s="1" t="s">
        <v>47</v>
      </c>
      <c r="C30" s="1" t="s">
        <v>48</v>
      </c>
    </row>
    <row r="31" spans="1:3" ht="38.25" x14ac:dyDescent="0.25">
      <c r="A31" s="6" t="s">
        <v>49</v>
      </c>
      <c r="B31" s="1" t="s">
        <v>50</v>
      </c>
      <c r="C31" s="1" t="s">
        <v>51</v>
      </c>
    </row>
    <row r="32" spans="1:3" ht="25.5" x14ac:dyDescent="0.25">
      <c r="A32" s="6" t="s">
        <v>49</v>
      </c>
      <c r="B32" s="1" t="s">
        <v>52</v>
      </c>
      <c r="C32" s="1" t="s">
        <v>53</v>
      </c>
    </row>
    <row r="33" spans="1:3" ht="25.5" x14ac:dyDescent="0.25">
      <c r="A33" s="6" t="s">
        <v>49</v>
      </c>
      <c r="B33" s="1" t="s">
        <v>54</v>
      </c>
      <c r="C33" s="1" t="s">
        <v>55</v>
      </c>
    </row>
    <row r="34" spans="1:3" x14ac:dyDescent="0.25">
      <c r="A34" s="6" t="s">
        <v>49</v>
      </c>
      <c r="B34" s="1" t="s">
        <v>56</v>
      </c>
      <c r="C34" s="1" t="s">
        <v>57</v>
      </c>
    </row>
    <row r="35" spans="1:3" x14ac:dyDescent="0.25">
      <c r="A35" s="6" t="s">
        <v>49</v>
      </c>
      <c r="B35" s="1" t="s">
        <v>58</v>
      </c>
      <c r="C35" s="1" t="s">
        <v>59</v>
      </c>
    </row>
    <row r="36" spans="1:3" ht="25.5" x14ac:dyDescent="0.25">
      <c r="A36" s="6" t="s">
        <v>49</v>
      </c>
      <c r="B36" s="1" t="s">
        <v>60</v>
      </c>
      <c r="C36" s="1" t="s">
        <v>61</v>
      </c>
    </row>
    <row r="37" spans="1:3" ht="38.25" x14ac:dyDescent="0.25">
      <c r="A37" s="6" t="s">
        <v>49</v>
      </c>
      <c r="B37" s="1" t="s">
        <v>62</v>
      </c>
      <c r="C37" s="1" t="s">
        <v>63</v>
      </c>
    </row>
    <row r="38" spans="1:3" x14ac:dyDescent="0.25">
      <c r="A38" s="6" t="s">
        <v>49</v>
      </c>
      <c r="B38" s="1" t="s">
        <v>64</v>
      </c>
      <c r="C38" s="1" t="s">
        <v>65</v>
      </c>
    </row>
    <row r="39" spans="1:3" x14ac:dyDescent="0.25">
      <c r="A39" s="6" t="s">
        <v>49</v>
      </c>
      <c r="B39" s="1" t="s">
        <v>66</v>
      </c>
      <c r="C39" s="1" t="s">
        <v>67</v>
      </c>
    </row>
    <row r="40" spans="1:3" ht="38.25" x14ac:dyDescent="0.25">
      <c r="A40" s="7" t="s">
        <v>68</v>
      </c>
      <c r="B40" s="1" t="s">
        <v>69</v>
      </c>
      <c r="C40" s="1" t="s">
        <v>70</v>
      </c>
    </row>
    <row r="41" spans="1:3" x14ac:dyDescent="0.25">
      <c r="A41" s="7" t="s">
        <v>68</v>
      </c>
      <c r="B41" s="1" t="s">
        <v>71</v>
      </c>
      <c r="C41" s="1" t="s">
        <v>72</v>
      </c>
    </row>
    <row r="42" spans="1:3" x14ac:dyDescent="0.25">
      <c r="A42" s="7" t="s">
        <v>68</v>
      </c>
      <c r="B42" s="1" t="s">
        <v>73</v>
      </c>
      <c r="C42" s="1" t="s">
        <v>74</v>
      </c>
    </row>
    <row r="43" spans="1:3" x14ac:dyDescent="0.25">
      <c r="A43" s="7" t="s">
        <v>68</v>
      </c>
      <c r="B43" s="1" t="s">
        <v>75</v>
      </c>
      <c r="C43" s="1" t="s">
        <v>76</v>
      </c>
    </row>
  </sheetData>
  <mergeCells count="8">
    <mergeCell ref="A10:C10"/>
    <mergeCell ref="A3:C3"/>
    <mergeCell ref="A1:C1"/>
    <mergeCell ref="A4:C4"/>
    <mergeCell ref="A5:C5"/>
    <mergeCell ref="A6:C6"/>
    <mergeCell ref="A8:C8"/>
    <mergeCell ref="A9:C9"/>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43"/>
  <sheetViews>
    <sheetView zoomScaleNormal="100" workbookViewId="0"/>
  </sheetViews>
  <sheetFormatPr defaultColWidth="8.7109375" defaultRowHeight="15" x14ac:dyDescent="0.25"/>
  <cols>
    <col min="1" max="1" width="46" customWidth="1"/>
    <col min="2" max="9" width="16" customWidth="1"/>
  </cols>
  <sheetData>
    <row r="1" spans="1:2" ht="15.75" x14ac:dyDescent="0.25">
      <c r="A1" s="2" t="s">
        <v>77</v>
      </c>
    </row>
    <row r="2" spans="1:2" x14ac:dyDescent="0.25">
      <c r="A2" s="8" t="s">
        <v>78</v>
      </c>
    </row>
    <row r="4" spans="1:2" x14ac:dyDescent="0.25">
      <c r="A4" s="9" t="s">
        <v>79</v>
      </c>
    </row>
    <row r="5" spans="1:2" x14ac:dyDescent="0.25">
      <c r="A5" s="10" t="s">
        <v>80</v>
      </c>
      <c r="B5" s="10" t="s">
        <v>81</v>
      </c>
    </row>
    <row r="6" spans="1:2" x14ac:dyDescent="0.25">
      <c r="A6" s="11" t="s">
        <v>82</v>
      </c>
      <c r="B6" s="11">
        <f>COUNTA(Sheet1!$A$2:$A$200)</f>
        <v>45</v>
      </c>
    </row>
    <row r="7" spans="1:2" x14ac:dyDescent="0.25">
      <c r="A7" s="11" t="s">
        <v>83</v>
      </c>
      <c r="B7" s="11">
        <f>COUNTIFS(Sheet1!$BT$2:$BT$200,"E1*")</f>
        <v>1</v>
      </c>
    </row>
    <row r="8" spans="1:2" x14ac:dyDescent="0.25">
      <c r="A8" s="11" t="s">
        <v>84</v>
      </c>
      <c r="B8" s="11">
        <f>B6-B7</f>
        <v>44</v>
      </c>
    </row>
    <row r="9" spans="1:2" x14ac:dyDescent="0.25">
      <c r="A9" s="11" t="s">
        <v>85</v>
      </c>
      <c r="B9" s="11">
        <f>COUNTIFS(Sheet1!$BT$2:$BT$200,"E2*")</f>
        <v>8</v>
      </c>
    </row>
    <row r="10" spans="1:2" x14ac:dyDescent="0.25">
      <c r="A10" s="11" t="s">
        <v>86</v>
      </c>
      <c r="B10" s="11">
        <f>COUNTIFS(Sheet1!$BT$2:$BT$200,"E3*")</f>
        <v>1</v>
      </c>
    </row>
    <row r="11" spans="1:2" x14ac:dyDescent="0.25">
      <c r="A11" s="11" t="s">
        <v>87</v>
      </c>
      <c r="B11" s="11">
        <f>COUNTIFS(Sheet1!$BT$2:$BT$200,"E4*")</f>
        <v>2</v>
      </c>
    </row>
    <row r="12" spans="1:2" x14ac:dyDescent="0.25">
      <c r="A12" s="11" t="s">
        <v>88</v>
      </c>
      <c r="B12" s="11">
        <f>COUNTIFS(Sheet1!$BT$2:$BT$200,"E5*")</f>
        <v>1</v>
      </c>
    </row>
    <row r="13" spans="1:2" x14ac:dyDescent="0.25">
      <c r="A13" s="11" t="s">
        <v>89</v>
      </c>
      <c r="B13" s="11">
        <f>COUNTIFS(Sheet1!$BS$2:$BS$200,"Core")+COUNTIFS(Sheet1!$BS$2:$BS$200,"Sensitivity")</f>
        <v>32</v>
      </c>
    </row>
    <row r="14" spans="1:2" x14ac:dyDescent="0.25">
      <c r="A14" s="11" t="s">
        <v>90</v>
      </c>
      <c r="B14" s="11">
        <f>COUNTIFS(Sheet1!$BS$2:$BS$200,"Sensitivity")</f>
        <v>11</v>
      </c>
    </row>
    <row r="15" spans="1:2" x14ac:dyDescent="0.25">
      <c r="A15" s="11" t="s">
        <v>91</v>
      </c>
      <c r="B15" s="11">
        <f>COUNTIFS(Sheet1!$BS$2:$BS$200,"Core")</f>
        <v>21</v>
      </c>
    </row>
    <row r="17" spans="1:9" x14ac:dyDescent="0.25">
      <c r="A17" s="9" t="s">
        <v>92</v>
      </c>
    </row>
    <row r="18" spans="1:9" ht="38.25" x14ac:dyDescent="0.25">
      <c r="A18" s="10" t="s">
        <v>93</v>
      </c>
      <c r="B18" s="10" t="s">
        <v>94</v>
      </c>
      <c r="C18" s="10" t="s">
        <v>95</v>
      </c>
      <c r="D18" s="10" t="s">
        <v>96</v>
      </c>
      <c r="E18" s="10" t="s">
        <v>97</v>
      </c>
      <c r="F18" s="10" t="s">
        <v>98</v>
      </c>
      <c r="G18" s="10" t="s">
        <v>99</v>
      </c>
      <c r="H18" s="10" t="s">
        <v>100</v>
      </c>
      <c r="I18" s="10" t="s">
        <v>101</v>
      </c>
    </row>
    <row r="19" spans="1:9" x14ac:dyDescent="0.25">
      <c r="A19" s="11" t="s">
        <v>102</v>
      </c>
      <c r="B19" s="11">
        <f>COUNTIFS(Sheet1!$BB$2:$BB$200,"+",Sheet1!$BS$2:$BS$200,"Core")</f>
        <v>7</v>
      </c>
      <c r="C19" s="11">
        <f>COUNTIFS(Sheet1!$BB$2:$BB$200,"Mixed",Sheet1!$BS$2:$BS$200,"Core")</f>
        <v>1</v>
      </c>
      <c r="D19" s="11">
        <f>COUNTIFS(Sheet1!$BB$2:$BB$200,"Unclear",Sheet1!$BS$2:$BS$200,"Core")</f>
        <v>1</v>
      </c>
      <c r="E19" s="11">
        <f>COUNTIFS(Sheet1!$BB$2:$BB$200,"0",Sheet1!$BS$2:$BS$200,"Core")</f>
        <v>0</v>
      </c>
      <c r="F19" s="11">
        <f>COUNTIFS(Sheet1!$BB$2:$BB$200,"−",Sheet1!$BS$2:$BS$200,"Core")</f>
        <v>0</v>
      </c>
      <c r="G19" s="11">
        <f>SUM(B19:F19)</f>
        <v>9</v>
      </c>
      <c r="H19" s="12">
        <f>IF(G19=0,"-",B19/G19)</f>
        <v>0.77777777777777779</v>
      </c>
      <c r="I19" s="11">
        <f>COUNTIFS(Sheet1!$BB$2:$BB$200,"+",Sheet1!$BS$2:$BS$200,"Core",Sheet1!$BP$2:$BP$200,"Moderate")+COUNTIFS(Sheet1!$BB$2:$BB$200,"+",Sheet1!$BS$2:$BS$200,"Core",Sheet1!$BP$2:$BP$200,"High")</f>
        <v>1</v>
      </c>
    </row>
    <row r="20" spans="1:9" x14ac:dyDescent="0.25">
      <c r="A20" s="11" t="s">
        <v>103</v>
      </c>
      <c r="B20" s="11">
        <f>COUNTIFS(Sheet1!$BC$2:$BC$200,"+",Sheet1!$BS$2:$BS$200,"Core")</f>
        <v>15</v>
      </c>
      <c r="C20" s="11">
        <f>COUNTIFS(Sheet1!$BC$2:$BC$200,"Mixed",Sheet1!$BS$2:$BS$200,"Core")</f>
        <v>0</v>
      </c>
      <c r="D20" s="11">
        <f>COUNTIFS(Sheet1!$BC$2:$BC$200,"Unclear",Sheet1!$BS$2:$BS$200,"Core")</f>
        <v>0</v>
      </c>
      <c r="E20" s="11">
        <f>COUNTIFS(Sheet1!$BC$2:$BC$200,"0",Sheet1!$BS$2:$BS$200,"Core")</f>
        <v>0</v>
      </c>
      <c r="F20" s="11">
        <f>COUNTIFS(Sheet1!$BC$2:$BC$200,"−",Sheet1!$BS$2:$BS$200,"Core")</f>
        <v>0</v>
      </c>
      <c r="G20" s="11">
        <f>SUM(B20:F20)</f>
        <v>15</v>
      </c>
      <c r="H20" s="12">
        <f>IF(G20=0,"-",B20/G20)</f>
        <v>1</v>
      </c>
      <c r="I20" s="11">
        <f>COUNTIFS(Sheet1!$BC$2:$BC$200,"+",Sheet1!$BS$2:$BS$200,"Core",Sheet1!$BP$2:$BP$200,"Moderate")+COUNTIFS(Sheet1!$BC$2:$BC$200,"+",Sheet1!$BS$2:$BS$200,"Core",Sheet1!$BP$2:$BP$200,"High")</f>
        <v>3</v>
      </c>
    </row>
    <row r="21" spans="1:9" x14ac:dyDescent="0.25">
      <c r="A21" s="11" t="s">
        <v>104</v>
      </c>
      <c r="B21" s="11">
        <f>COUNTIFS(Sheet1!$BD$2:$BD$200,"+",Sheet1!$BS$2:$BS$200,"Core")</f>
        <v>13</v>
      </c>
      <c r="C21" s="11">
        <f>COUNTIFS(Sheet1!$BD$2:$BD$200,"Mixed",Sheet1!$BS$2:$BS$200,"Core")</f>
        <v>0</v>
      </c>
      <c r="D21" s="11">
        <f>COUNTIFS(Sheet1!$BD$2:$BD$200,"Unclear",Sheet1!$BS$2:$BS$200,"Core")</f>
        <v>1</v>
      </c>
      <c r="E21" s="11">
        <f>COUNTIFS(Sheet1!$BD$2:$BD$200,"0",Sheet1!$BS$2:$BS$200,"Core")</f>
        <v>0</v>
      </c>
      <c r="F21" s="11">
        <f>COUNTIFS(Sheet1!$BD$2:$BD$200,"−",Sheet1!$BS$2:$BS$200,"Core")</f>
        <v>0</v>
      </c>
      <c r="G21" s="11">
        <f>SUM(B21:F21)</f>
        <v>14</v>
      </c>
      <c r="H21" s="12">
        <f>IF(G21=0,"-",B21/G21)</f>
        <v>0.9285714285714286</v>
      </c>
      <c r="I21" s="11">
        <f>COUNTIFS(Sheet1!$BD$2:$BD$200,"+",Sheet1!$BS$2:$BS$200,"Core",Sheet1!$BP$2:$BP$200,"Moderate")+COUNTIFS(Sheet1!$BD$2:$BD$200,"+",Sheet1!$BS$2:$BS$200,"Core",Sheet1!$BP$2:$BP$200,"High")</f>
        <v>2</v>
      </c>
    </row>
    <row r="23" spans="1:9" x14ac:dyDescent="0.25">
      <c r="A23" s="9" t="s">
        <v>105</v>
      </c>
    </row>
    <row r="24" spans="1:9" ht="38.25" x14ac:dyDescent="0.25">
      <c r="A24" s="10" t="s">
        <v>93</v>
      </c>
      <c r="B24" s="10" t="s">
        <v>94</v>
      </c>
      <c r="C24" s="10" t="s">
        <v>95</v>
      </c>
      <c r="D24" s="10" t="s">
        <v>96</v>
      </c>
      <c r="E24" s="10" t="s">
        <v>97</v>
      </c>
      <c r="F24" s="10" t="s">
        <v>98</v>
      </c>
      <c r="G24" s="10" t="s">
        <v>99</v>
      </c>
      <c r="H24" s="10" t="s">
        <v>100</v>
      </c>
      <c r="I24" s="10" t="s">
        <v>101</v>
      </c>
    </row>
    <row r="25" spans="1:9" x14ac:dyDescent="0.25">
      <c r="A25" s="11" t="s">
        <v>102</v>
      </c>
      <c r="B25" s="11">
        <f>(COUNTIFS(Sheet1!$BB$2:$BB$200,"+",Sheet1!$BS$2:$BS$200,"Core")+COUNTIFS(Sheet1!$BB$2:$BB$200,"+",Sheet1!$BS$2:$BS$200,"Sensitivity"))</f>
        <v>11</v>
      </c>
      <c r="C25" s="11">
        <f>(COUNTIFS(Sheet1!$BB$2:$BB$200,"Mixed",Sheet1!$BS$2:$BS$200,"Core")+COUNTIFS(Sheet1!$BB$2:$BB$200,"Mixed",Sheet1!$BS$2:$BS$200,"Sensitivity"))</f>
        <v>1</v>
      </c>
      <c r="D25" s="11">
        <f>(COUNTIFS(Sheet1!$BB$2:$BB$200,"Unclear",Sheet1!$BS$2:$BS$200,"Core")+COUNTIFS(Sheet1!$BB$2:$BB$200,"Unclear",Sheet1!$BS$2:$BS$200,"Sensitivity"))</f>
        <v>1</v>
      </c>
      <c r="E25" s="11">
        <f>(COUNTIFS(Sheet1!$BB$2:$BB$200,"0",Sheet1!$BS$2:$BS$200,"Core")+COUNTIFS(Sheet1!$BB$2:$BB$200,"0",Sheet1!$BS$2:$BS$200,"Sensitivity"))</f>
        <v>0</v>
      </c>
      <c r="F25" s="11">
        <f>(COUNTIFS(Sheet1!$BB$2:$BB$200,"−",Sheet1!$BS$2:$BS$200,"Core")+COUNTIFS(Sheet1!$BB$2:$BB$200,"−",Sheet1!$BS$2:$BS$200,"Sensitivity"))</f>
        <v>0</v>
      </c>
      <c r="G25" s="11">
        <f>SUM(B25:F25)</f>
        <v>13</v>
      </c>
      <c r="H25" s="12">
        <f>IF(G25=0,"-",B25/G25)</f>
        <v>0.84615384615384615</v>
      </c>
      <c r="I25" s="11">
        <f>COUNTIFS(Sheet1!$BB$2:$BB$200,"+",Sheet1!$BS$2:$BS$200,"&lt;&gt;Excluded",Sheet1!$BP$2:$BP$200,"Moderate")+COUNTIFS(Sheet1!$BB$2:$BB$200,"+",Sheet1!$BS$2:$BS$200,"&lt;&gt;Excluded",Sheet1!$BP$2:$BP$200,"High")</f>
        <v>1</v>
      </c>
    </row>
    <row r="26" spans="1:9" x14ac:dyDescent="0.25">
      <c r="A26" s="11" t="s">
        <v>103</v>
      </c>
      <c r="B26" s="11">
        <f>(COUNTIFS(Sheet1!$BC$2:$BC$200,"+",Sheet1!$BS$2:$BS$200,"Core")+COUNTIFS(Sheet1!$BC$2:$BC$200,"+",Sheet1!$BS$2:$BS$200,"Sensitivity"))</f>
        <v>22</v>
      </c>
      <c r="C26" s="11">
        <f>(COUNTIFS(Sheet1!$BC$2:$BC$200,"Mixed",Sheet1!$BS$2:$BS$200,"Core")+COUNTIFS(Sheet1!$BC$2:$BC$200,"Mixed",Sheet1!$BS$2:$BS$200,"Sensitivity"))</f>
        <v>1</v>
      </c>
      <c r="D26" s="11">
        <f>(COUNTIFS(Sheet1!$BC$2:$BC$200,"Unclear",Sheet1!$BS$2:$BS$200,"Core")+COUNTIFS(Sheet1!$BC$2:$BC$200,"Unclear",Sheet1!$BS$2:$BS$200,"Sensitivity"))</f>
        <v>1</v>
      </c>
      <c r="E26" s="11">
        <f>(COUNTIFS(Sheet1!$BC$2:$BC$200,"0",Sheet1!$BS$2:$BS$200,"Core")+COUNTIFS(Sheet1!$BC$2:$BC$200,"0",Sheet1!$BS$2:$BS$200,"Sensitivity"))</f>
        <v>0</v>
      </c>
      <c r="F26" s="11">
        <f>(COUNTIFS(Sheet1!$BC$2:$BC$200,"−",Sheet1!$BS$2:$BS$200,"Core")+COUNTIFS(Sheet1!$BC$2:$BC$200,"−",Sheet1!$BS$2:$BS$200,"Sensitivity"))</f>
        <v>0</v>
      </c>
      <c r="G26" s="11">
        <f>SUM(B26:F26)</f>
        <v>24</v>
      </c>
      <c r="H26" s="12">
        <f>IF(G26=0,"-",B26/G26)</f>
        <v>0.91666666666666663</v>
      </c>
      <c r="I26" s="11">
        <f>COUNTIFS(Sheet1!$BC$2:$BC$200,"+",Sheet1!$BS$2:$BS$200,"&lt;&gt;Excluded",Sheet1!$BP$2:$BP$200,"Moderate")+COUNTIFS(Sheet1!$BC$2:$BC$200,"+",Sheet1!$BS$2:$BS$200,"&lt;&gt;Excluded",Sheet1!$BP$2:$BP$200,"High")</f>
        <v>4</v>
      </c>
    </row>
    <row r="27" spans="1:9" x14ac:dyDescent="0.25">
      <c r="A27" s="11" t="s">
        <v>104</v>
      </c>
      <c r="B27" s="11">
        <f>(COUNTIFS(Sheet1!$BD$2:$BD$200,"+",Sheet1!$BS$2:$BS$200,"Core")+COUNTIFS(Sheet1!$BD$2:$BD$200,"+",Sheet1!$BS$2:$BS$200,"Sensitivity"))</f>
        <v>21</v>
      </c>
      <c r="C27" s="11">
        <f>(COUNTIFS(Sheet1!$BD$2:$BD$200,"Mixed",Sheet1!$BS$2:$BS$200,"Core")+COUNTIFS(Sheet1!$BD$2:$BD$200,"Mixed",Sheet1!$BS$2:$BS$200,"Sensitivity"))</f>
        <v>0</v>
      </c>
      <c r="D27" s="11">
        <f>(COUNTIFS(Sheet1!$BD$2:$BD$200,"Unclear",Sheet1!$BS$2:$BS$200,"Core")+COUNTIFS(Sheet1!$BD$2:$BD$200,"Unclear",Sheet1!$BS$2:$BS$200,"Sensitivity"))</f>
        <v>1</v>
      </c>
      <c r="E27" s="11">
        <f>(COUNTIFS(Sheet1!$BD$2:$BD$200,"0",Sheet1!$BS$2:$BS$200,"Core")+COUNTIFS(Sheet1!$BD$2:$BD$200,"0",Sheet1!$BS$2:$BS$200,"Sensitivity"))</f>
        <v>0</v>
      </c>
      <c r="F27" s="11">
        <f>(COUNTIFS(Sheet1!$BD$2:$BD$200,"−",Sheet1!$BS$2:$BS$200,"Core")+COUNTIFS(Sheet1!$BD$2:$BD$200,"−",Sheet1!$BS$2:$BS$200,"Sensitivity"))</f>
        <v>0</v>
      </c>
      <c r="G27" s="11">
        <f>SUM(B27:F27)</f>
        <v>22</v>
      </c>
      <c r="H27" s="12">
        <f>IF(G27=0,"-",B27/G27)</f>
        <v>0.95454545454545459</v>
      </c>
      <c r="I27" s="11">
        <f>COUNTIFS(Sheet1!$BD$2:$BD$200,"+",Sheet1!$BS$2:$BS$200,"&lt;&gt;Excluded",Sheet1!$BP$2:$BP$200,"Moderate")+COUNTIFS(Sheet1!$BD$2:$BD$200,"+",Sheet1!$BS$2:$BS$200,"&lt;&gt;Excluded",Sheet1!$BP$2:$BP$200,"High")</f>
        <v>4</v>
      </c>
    </row>
    <row r="29" spans="1:9" x14ac:dyDescent="0.25">
      <c r="A29" s="9" t="s">
        <v>106</v>
      </c>
    </row>
    <row r="30" spans="1:9" ht="25.5" x14ac:dyDescent="0.25">
      <c r="A30" s="10" t="s">
        <v>107</v>
      </c>
      <c r="B30" s="10" t="s">
        <v>108</v>
      </c>
      <c r="C30" s="10" t="s">
        <v>109</v>
      </c>
      <c r="D30" s="10" t="s">
        <v>110</v>
      </c>
      <c r="E30" s="10" t="s">
        <v>111</v>
      </c>
      <c r="F30" s="10" t="s">
        <v>112</v>
      </c>
      <c r="G30" s="10" t="s">
        <v>113</v>
      </c>
      <c r="H30" s="10" t="s">
        <v>114</v>
      </c>
    </row>
    <row r="31" spans="1:9" x14ac:dyDescent="0.25">
      <c r="A31" s="11" t="s">
        <v>115</v>
      </c>
      <c r="B31" s="11">
        <f>COUNTIFS(Sheet1!$AT$2:$AT$200,A31,Sheet1!$BS$2:$BS$200,"Core")</f>
        <v>4</v>
      </c>
      <c r="C31" s="11">
        <f>COUNTIFS(Sheet1!$AT$2:$AT$200,A31,Sheet1!$BS$2:$BS$200,"Core",Sheet1!$BB$2:$BB$200,"+")</f>
        <v>1</v>
      </c>
      <c r="D31" s="11">
        <f>COUNTIFS(Sheet1!$AT$2:$AT$200,A31,Sheet1!$BS$2:$BS$200,"Core",Sheet1!$BB$2:$BB$200,"&lt;&gt;Not measured",Sheet1!$BB$2:$BB$200,"&lt;&gt;")</f>
        <v>1</v>
      </c>
      <c r="E31" s="11">
        <f>COUNTIFS(Sheet1!$AT$2:$AT$200,A31,Sheet1!$BS$2:$BS$200,"Core",Sheet1!$BC$2:$BC$200,"+")</f>
        <v>4</v>
      </c>
      <c r="F31" s="11">
        <f>COUNTIFS(Sheet1!$AT$2:$AT$200,A31,Sheet1!$BS$2:$BS$200,"Core",Sheet1!$BC$2:$BC$200,"&lt;&gt;Not measured",Sheet1!$BC$2:$BC$200,"&lt;&gt;")</f>
        <v>4</v>
      </c>
      <c r="G31" s="11">
        <f>COUNTIFS(Sheet1!$AT$2:$AT$200,A31,Sheet1!$BS$2:$BS$200,"Core",Sheet1!$BD$2:$BD$200,"+")</f>
        <v>3</v>
      </c>
      <c r="H31" s="11">
        <f>COUNTIFS(Sheet1!$AT$2:$AT$200,A31,Sheet1!$BS$2:$BS$200,"Core",Sheet1!$BD$2:$BD$200,"&lt;&gt;Not measured",Sheet1!$BD$2:$BD$200,"&lt;&gt;")</f>
        <v>3</v>
      </c>
    </row>
    <row r="32" spans="1:9" x14ac:dyDescent="0.25">
      <c r="A32" s="11" t="s">
        <v>116</v>
      </c>
      <c r="B32" s="11">
        <f>COUNTIFS(Sheet1!$AT$2:$AT$200,A32,Sheet1!$BS$2:$BS$200,"Core")</f>
        <v>4</v>
      </c>
      <c r="C32" s="11">
        <f>COUNTIFS(Sheet1!$AT$2:$AT$200,A32,Sheet1!$BS$2:$BS$200,"Core",Sheet1!$BB$2:$BB$200,"+")</f>
        <v>1</v>
      </c>
      <c r="D32" s="11">
        <f>COUNTIFS(Sheet1!$AT$2:$AT$200,A32,Sheet1!$BS$2:$BS$200,"Core",Sheet1!$BB$2:$BB$200,"&lt;&gt;Not measured",Sheet1!$BB$2:$BB$200,"&lt;&gt;")</f>
        <v>2</v>
      </c>
      <c r="E32" s="11">
        <f>COUNTIFS(Sheet1!$AT$2:$AT$200,A32,Sheet1!$BS$2:$BS$200,"Core",Sheet1!$BC$2:$BC$200,"+")</f>
        <v>3</v>
      </c>
      <c r="F32" s="11">
        <f>COUNTIFS(Sheet1!$AT$2:$AT$200,A32,Sheet1!$BS$2:$BS$200,"Core",Sheet1!$BC$2:$BC$200,"&lt;&gt;Not measured",Sheet1!$BC$2:$BC$200,"&lt;&gt;")</f>
        <v>3</v>
      </c>
      <c r="G32" s="11">
        <f>COUNTIFS(Sheet1!$AT$2:$AT$200,A32,Sheet1!$BS$2:$BS$200,"Core",Sheet1!$BD$2:$BD$200,"+")</f>
        <v>1</v>
      </c>
      <c r="H32" s="11">
        <f>COUNTIFS(Sheet1!$AT$2:$AT$200,A32,Sheet1!$BS$2:$BS$200,"Core",Sheet1!$BD$2:$BD$200,"&lt;&gt;Not measured",Sheet1!$BD$2:$BD$200,"&lt;&gt;")</f>
        <v>2</v>
      </c>
    </row>
    <row r="33" spans="1:8" x14ac:dyDescent="0.25">
      <c r="A33" s="11" t="s">
        <v>117</v>
      </c>
      <c r="B33" s="11">
        <f>COUNTIFS(Sheet1!$AT$2:$AT$200,A33,Sheet1!$BS$2:$BS$200,"Core")</f>
        <v>2</v>
      </c>
      <c r="C33" s="11">
        <f>COUNTIFS(Sheet1!$AT$2:$AT$200,A33,Sheet1!$BS$2:$BS$200,"Core",Sheet1!$BB$2:$BB$200,"+")</f>
        <v>0</v>
      </c>
      <c r="D33" s="11">
        <f>COUNTIFS(Sheet1!$AT$2:$AT$200,A33,Sheet1!$BS$2:$BS$200,"Core",Sheet1!$BB$2:$BB$200,"&lt;&gt;Not measured",Sheet1!$BB$2:$BB$200,"&lt;&gt;")</f>
        <v>0</v>
      </c>
      <c r="E33" s="11">
        <f>COUNTIFS(Sheet1!$AT$2:$AT$200,A33,Sheet1!$BS$2:$BS$200,"Core",Sheet1!$BC$2:$BC$200,"+")</f>
        <v>1</v>
      </c>
      <c r="F33" s="11">
        <f>COUNTIFS(Sheet1!$AT$2:$AT$200,A33,Sheet1!$BS$2:$BS$200,"Core",Sheet1!$BC$2:$BC$200,"&lt;&gt;Not measured",Sheet1!$BC$2:$BC$200,"&lt;&gt;")</f>
        <v>1</v>
      </c>
      <c r="G33" s="11">
        <f>COUNTIFS(Sheet1!$AT$2:$AT$200,A33,Sheet1!$BS$2:$BS$200,"Core",Sheet1!$BD$2:$BD$200,"+")</f>
        <v>1</v>
      </c>
      <c r="H33" s="11">
        <f>COUNTIFS(Sheet1!$AT$2:$AT$200,A33,Sheet1!$BS$2:$BS$200,"Core",Sheet1!$BD$2:$BD$200,"&lt;&gt;Not measured",Sheet1!$BD$2:$BD$200,"&lt;&gt;")</f>
        <v>1</v>
      </c>
    </row>
    <row r="34" spans="1:8" x14ac:dyDescent="0.25">
      <c r="A34" s="11" t="s">
        <v>118</v>
      </c>
      <c r="B34" s="11">
        <f>COUNTIFS(Sheet1!$AT$2:$AT$200,A34,Sheet1!$BS$2:$BS$200,"Core")</f>
        <v>3</v>
      </c>
      <c r="C34" s="11">
        <f>COUNTIFS(Sheet1!$AT$2:$AT$200,A34,Sheet1!$BS$2:$BS$200,"Core",Sheet1!$BB$2:$BB$200,"+")</f>
        <v>1</v>
      </c>
      <c r="D34" s="11">
        <f>COUNTIFS(Sheet1!$AT$2:$AT$200,A34,Sheet1!$BS$2:$BS$200,"Core",Sheet1!$BB$2:$BB$200,"&lt;&gt;Not measured",Sheet1!$BB$2:$BB$200,"&lt;&gt;")</f>
        <v>2</v>
      </c>
      <c r="E34" s="11">
        <f>COUNTIFS(Sheet1!$AT$2:$AT$200,A34,Sheet1!$BS$2:$BS$200,"Core",Sheet1!$BC$2:$BC$200,"+")</f>
        <v>2</v>
      </c>
      <c r="F34" s="11">
        <f>COUNTIFS(Sheet1!$AT$2:$AT$200,A34,Sheet1!$BS$2:$BS$200,"Core",Sheet1!$BC$2:$BC$200,"&lt;&gt;Not measured",Sheet1!$BC$2:$BC$200,"&lt;&gt;")</f>
        <v>2</v>
      </c>
      <c r="G34" s="11">
        <f>COUNTIFS(Sheet1!$AT$2:$AT$200,A34,Sheet1!$BS$2:$BS$200,"Core",Sheet1!$BD$2:$BD$200,"+")</f>
        <v>3</v>
      </c>
      <c r="H34" s="11">
        <f>COUNTIFS(Sheet1!$AT$2:$AT$200,A34,Sheet1!$BS$2:$BS$200,"Core",Sheet1!$BD$2:$BD$200,"&lt;&gt;Not measured",Sheet1!$BD$2:$BD$200,"&lt;&gt;")</f>
        <v>3</v>
      </c>
    </row>
    <row r="35" spans="1:8" x14ac:dyDescent="0.25">
      <c r="A35" s="11" t="s">
        <v>119</v>
      </c>
      <c r="B35" s="11">
        <f>COUNTIFS(Sheet1!$AT$2:$AT$200,A35,Sheet1!$BS$2:$BS$200,"Core")</f>
        <v>4</v>
      </c>
      <c r="C35" s="11">
        <f>COUNTIFS(Sheet1!$AT$2:$AT$200,A35,Sheet1!$BS$2:$BS$200,"Core",Sheet1!$BB$2:$BB$200,"+")</f>
        <v>3</v>
      </c>
      <c r="D35" s="11">
        <f>COUNTIFS(Sheet1!$AT$2:$AT$200,A35,Sheet1!$BS$2:$BS$200,"Core",Sheet1!$BB$2:$BB$200,"&lt;&gt;Not measured",Sheet1!$BB$2:$BB$200,"&lt;&gt;")</f>
        <v>3</v>
      </c>
      <c r="E35" s="11">
        <f>COUNTIFS(Sheet1!$AT$2:$AT$200,A35,Sheet1!$BS$2:$BS$200,"Core",Sheet1!$BC$2:$BC$200,"+")</f>
        <v>2</v>
      </c>
      <c r="F35" s="11">
        <f>COUNTIFS(Sheet1!$AT$2:$AT$200,A35,Sheet1!$BS$2:$BS$200,"Core",Sheet1!$BC$2:$BC$200,"&lt;&gt;Not measured",Sheet1!$BC$2:$BC$200,"&lt;&gt;")</f>
        <v>2</v>
      </c>
      <c r="G35" s="11">
        <f>COUNTIFS(Sheet1!$AT$2:$AT$200,A35,Sheet1!$BS$2:$BS$200,"Core",Sheet1!$BD$2:$BD$200,"+")</f>
        <v>1</v>
      </c>
      <c r="H35" s="11">
        <f>COUNTIFS(Sheet1!$AT$2:$AT$200,A35,Sheet1!$BS$2:$BS$200,"Core",Sheet1!$BD$2:$BD$200,"&lt;&gt;Not measured",Sheet1!$BD$2:$BD$200,"&lt;&gt;")</f>
        <v>1</v>
      </c>
    </row>
    <row r="36" spans="1:8" x14ac:dyDescent="0.25">
      <c r="A36" s="11" t="s">
        <v>120</v>
      </c>
      <c r="B36" s="11">
        <f>COUNTIFS(Sheet1!$AT$2:$AT$200,A36,Sheet1!$BS$2:$BS$200,"Core")</f>
        <v>1</v>
      </c>
      <c r="C36" s="11">
        <f>COUNTIFS(Sheet1!$AT$2:$AT$200,A36,Sheet1!$BS$2:$BS$200,"Core",Sheet1!$BB$2:$BB$200,"+")</f>
        <v>0</v>
      </c>
      <c r="D36" s="11">
        <f>COUNTIFS(Sheet1!$AT$2:$AT$200,A36,Sheet1!$BS$2:$BS$200,"Core",Sheet1!$BB$2:$BB$200,"&lt;&gt;Not measured",Sheet1!$BB$2:$BB$200,"&lt;&gt;")</f>
        <v>0</v>
      </c>
      <c r="E36" s="11">
        <f>COUNTIFS(Sheet1!$AT$2:$AT$200,A36,Sheet1!$BS$2:$BS$200,"Core",Sheet1!$BC$2:$BC$200,"+")</f>
        <v>0</v>
      </c>
      <c r="F36" s="11">
        <f>COUNTIFS(Sheet1!$AT$2:$AT$200,A36,Sheet1!$BS$2:$BS$200,"Core",Sheet1!$BC$2:$BC$200,"&lt;&gt;Not measured",Sheet1!$BC$2:$BC$200,"&lt;&gt;")</f>
        <v>0</v>
      </c>
      <c r="G36" s="11">
        <f>COUNTIFS(Sheet1!$AT$2:$AT$200,A36,Sheet1!$BS$2:$BS$200,"Core",Sheet1!$BD$2:$BD$200,"+")</f>
        <v>1</v>
      </c>
      <c r="H36" s="11">
        <f>COUNTIFS(Sheet1!$AT$2:$AT$200,A36,Sheet1!$BS$2:$BS$200,"Core",Sheet1!$BD$2:$BD$200,"&lt;&gt;Not measured",Sheet1!$BD$2:$BD$200,"&lt;&gt;")</f>
        <v>1</v>
      </c>
    </row>
    <row r="37" spans="1:8" x14ac:dyDescent="0.25">
      <c r="A37" s="11" t="s">
        <v>121</v>
      </c>
      <c r="B37" s="11">
        <f>COUNTIFS(Sheet1!$AT$2:$AT$200,A37,Sheet1!$BS$2:$BS$200,"Core")</f>
        <v>2</v>
      </c>
      <c r="C37" s="11">
        <f>COUNTIFS(Sheet1!$AT$2:$AT$200,A37,Sheet1!$BS$2:$BS$200,"Core",Sheet1!$BB$2:$BB$200,"+")</f>
        <v>1</v>
      </c>
      <c r="D37" s="11">
        <f>COUNTIFS(Sheet1!$AT$2:$AT$200,A37,Sheet1!$BS$2:$BS$200,"Core",Sheet1!$BB$2:$BB$200,"&lt;&gt;Not measured",Sheet1!$BB$2:$BB$200,"&lt;&gt;")</f>
        <v>1</v>
      </c>
      <c r="E37" s="11">
        <f>COUNTIFS(Sheet1!$AT$2:$AT$200,A37,Sheet1!$BS$2:$BS$200,"Core",Sheet1!$BC$2:$BC$200,"+")</f>
        <v>2</v>
      </c>
      <c r="F37" s="11">
        <f>COUNTIFS(Sheet1!$AT$2:$AT$200,A37,Sheet1!$BS$2:$BS$200,"Core",Sheet1!$BC$2:$BC$200,"&lt;&gt;Not measured",Sheet1!$BC$2:$BC$200,"&lt;&gt;")</f>
        <v>2</v>
      </c>
      <c r="G37" s="11">
        <f>COUNTIFS(Sheet1!$AT$2:$AT$200,A37,Sheet1!$BS$2:$BS$200,"Core",Sheet1!$BD$2:$BD$200,"+")</f>
        <v>2</v>
      </c>
      <c r="H37" s="11">
        <f>COUNTIFS(Sheet1!$AT$2:$AT$200,A37,Sheet1!$BS$2:$BS$200,"Core",Sheet1!$BD$2:$BD$200,"&lt;&gt;Not measured",Sheet1!$BD$2:$BD$200,"&lt;&gt;")</f>
        <v>2</v>
      </c>
    </row>
    <row r="38" spans="1:8" x14ac:dyDescent="0.25">
      <c r="A38" s="11" t="s">
        <v>122</v>
      </c>
      <c r="B38" s="11">
        <f>COUNTIFS(Sheet1!$AT$2:$AT$200,A38,Sheet1!$BS$2:$BS$200,"Core")</f>
        <v>1</v>
      </c>
      <c r="C38" s="11">
        <f>COUNTIFS(Sheet1!$AT$2:$AT$200,A38,Sheet1!$BS$2:$BS$200,"Core",Sheet1!$BB$2:$BB$200,"+")</f>
        <v>0</v>
      </c>
      <c r="D38" s="11">
        <f>COUNTIFS(Sheet1!$AT$2:$AT$200,A38,Sheet1!$BS$2:$BS$200,"Core",Sheet1!$BB$2:$BB$200,"&lt;&gt;Not measured",Sheet1!$BB$2:$BB$200,"&lt;&gt;")</f>
        <v>0</v>
      </c>
      <c r="E38" s="11">
        <f>COUNTIFS(Sheet1!$AT$2:$AT$200,A38,Sheet1!$BS$2:$BS$200,"Core",Sheet1!$BC$2:$BC$200,"+")</f>
        <v>1</v>
      </c>
      <c r="F38" s="11">
        <f>COUNTIFS(Sheet1!$AT$2:$AT$200,A38,Sheet1!$BS$2:$BS$200,"Core",Sheet1!$BC$2:$BC$200,"&lt;&gt;Not measured",Sheet1!$BC$2:$BC$200,"&lt;&gt;")</f>
        <v>1</v>
      </c>
      <c r="G38" s="11">
        <f>COUNTIFS(Sheet1!$AT$2:$AT$200,A38,Sheet1!$BS$2:$BS$200,"Core",Sheet1!$BD$2:$BD$200,"+")</f>
        <v>1</v>
      </c>
      <c r="H38" s="11">
        <f>COUNTIFS(Sheet1!$AT$2:$AT$200,A38,Sheet1!$BS$2:$BS$200,"Core",Sheet1!$BD$2:$BD$200,"&lt;&gt;Not measured",Sheet1!$BD$2:$BD$200,"&lt;&gt;")</f>
        <v>1</v>
      </c>
    </row>
    <row r="40" spans="1:8" x14ac:dyDescent="0.25">
      <c r="A40" s="9" t="s">
        <v>123</v>
      </c>
    </row>
    <row r="41" spans="1:8" ht="25.5" x14ac:dyDescent="0.25">
      <c r="A41" s="10" t="s">
        <v>124</v>
      </c>
      <c r="B41" s="10" t="s">
        <v>108</v>
      </c>
      <c r="C41" s="10" t="s">
        <v>109</v>
      </c>
      <c r="D41" s="10" t="s">
        <v>110</v>
      </c>
      <c r="E41" s="10" t="s">
        <v>111</v>
      </c>
      <c r="F41" s="10" t="s">
        <v>112</v>
      </c>
      <c r="G41" s="10" t="s">
        <v>113</v>
      </c>
      <c r="H41" s="10" t="s">
        <v>114</v>
      </c>
    </row>
    <row r="42" spans="1:8" x14ac:dyDescent="0.25">
      <c r="A42" s="11" t="s">
        <v>125</v>
      </c>
      <c r="B42" s="11">
        <f>COUNTIFS(Sheet1!$AY$2:$AY$200,A42,Sheet1!$BS$2:$BS$200,"Core")</f>
        <v>10</v>
      </c>
      <c r="C42" s="11">
        <f>COUNTIFS(Sheet1!$AY$2:$AY$200,A42,Sheet1!$BS$2:$BS$200,"Core",Sheet1!$BB$2:$BB$200,"+")</f>
        <v>5</v>
      </c>
      <c r="D42" s="11">
        <f>COUNTIFS(Sheet1!$AY$2:$AY$200,A42,Sheet1!$BS$2:$BS$200,"Core",Sheet1!$BB$2:$BB$200,"&lt;&gt;Not measured",Sheet1!$BB$2:$BB$200,"&lt;&gt;")</f>
        <v>5</v>
      </c>
      <c r="E42" s="11">
        <f>COUNTIFS(Sheet1!$AY$2:$AY$200,A42,Sheet1!$BS$2:$BS$200,"Core",Sheet1!$BC$2:$BC$200,"+")</f>
        <v>8</v>
      </c>
      <c r="F42" s="11">
        <f>COUNTIFS(Sheet1!$AY$2:$AY$200,A42,Sheet1!$BS$2:$BS$200,"Core",Sheet1!$BC$2:$BC$200,"&lt;&gt;Not measured",Sheet1!$BC$2:$BC$200,"&lt;&gt;")</f>
        <v>8</v>
      </c>
      <c r="G42" s="11">
        <f>COUNTIFS(Sheet1!$AY$2:$AY$200,A42,Sheet1!$BS$2:$BS$200,"Core",Sheet1!$BD$2:$BD$200,"+")</f>
        <v>6</v>
      </c>
      <c r="H42" s="11">
        <f>COUNTIFS(Sheet1!$AY$2:$AY$200,A42,Sheet1!$BS$2:$BS$200,"Core",Sheet1!$BD$2:$BD$200,"&lt;&gt;Not measured",Sheet1!$BD$2:$BD$200,"&lt;&gt;")</f>
        <v>6</v>
      </c>
    </row>
    <row r="43" spans="1:8" x14ac:dyDescent="0.25">
      <c r="A43" s="11" t="s">
        <v>126</v>
      </c>
      <c r="B43" s="11">
        <f>COUNTIFS(Sheet1!$AY$2:$AY$200,A43,Sheet1!$BS$2:$BS$200,"Core")</f>
        <v>2</v>
      </c>
      <c r="C43" s="11">
        <f>COUNTIFS(Sheet1!$AY$2:$AY$200,A43,Sheet1!$BS$2:$BS$200,"Core",Sheet1!$BB$2:$BB$200,"+")</f>
        <v>0</v>
      </c>
      <c r="D43" s="11">
        <f>COUNTIFS(Sheet1!$AY$2:$AY$200,A43,Sheet1!$BS$2:$BS$200,"Core",Sheet1!$BB$2:$BB$200,"&lt;&gt;Not measured",Sheet1!$BB$2:$BB$200,"&lt;&gt;")</f>
        <v>0</v>
      </c>
      <c r="E43" s="11">
        <f>COUNTIFS(Sheet1!$AY$2:$AY$200,A43,Sheet1!$BS$2:$BS$200,"Core",Sheet1!$BC$2:$BC$200,"+")</f>
        <v>1</v>
      </c>
      <c r="F43" s="11">
        <f>COUNTIFS(Sheet1!$AY$2:$AY$200,A43,Sheet1!$BS$2:$BS$200,"Core",Sheet1!$BC$2:$BC$200,"&lt;&gt;Not measured",Sheet1!$BC$2:$BC$200,"&lt;&gt;")</f>
        <v>1</v>
      </c>
      <c r="G43" s="11">
        <f>COUNTIFS(Sheet1!$AY$2:$AY$200,A43,Sheet1!$BS$2:$BS$200,"Core",Sheet1!$BD$2:$BD$200,"+")</f>
        <v>2</v>
      </c>
      <c r="H43" s="11">
        <f>COUNTIFS(Sheet1!$AY$2:$AY$200,A43,Sheet1!$BS$2:$BS$200,"Core",Sheet1!$BD$2:$BD$200,"&lt;&gt;Not measured",Sheet1!$BD$2:$BD$200,"&lt;&gt;")</f>
        <v>2</v>
      </c>
    </row>
    <row r="44" spans="1:8" x14ac:dyDescent="0.25">
      <c r="A44" s="11" t="s">
        <v>127</v>
      </c>
      <c r="B44" s="11">
        <f>COUNTIFS(Sheet1!$AY$2:$AY$200,A44,Sheet1!$BS$2:$BS$200,"Core")</f>
        <v>4</v>
      </c>
      <c r="C44" s="11">
        <f>COUNTIFS(Sheet1!$AY$2:$AY$200,A44,Sheet1!$BS$2:$BS$200,"Core",Sheet1!$BB$2:$BB$200,"+")</f>
        <v>0</v>
      </c>
      <c r="D44" s="11">
        <f>COUNTIFS(Sheet1!$AY$2:$AY$200,A44,Sheet1!$BS$2:$BS$200,"Core",Sheet1!$BB$2:$BB$200,"&lt;&gt;Not measured",Sheet1!$BB$2:$BB$200,"&lt;&gt;")</f>
        <v>1</v>
      </c>
      <c r="E44" s="11">
        <f>COUNTIFS(Sheet1!$AY$2:$AY$200,A44,Sheet1!$BS$2:$BS$200,"Core",Sheet1!$BC$2:$BC$200,"+")</f>
        <v>3</v>
      </c>
      <c r="F44" s="11">
        <f>COUNTIFS(Sheet1!$AY$2:$AY$200,A44,Sheet1!$BS$2:$BS$200,"Core",Sheet1!$BC$2:$BC$200,"&lt;&gt;Not measured",Sheet1!$BC$2:$BC$200,"&lt;&gt;")</f>
        <v>3</v>
      </c>
      <c r="G44" s="11">
        <f>COUNTIFS(Sheet1!$AY$2:$AY$200,A44,Sheet1!$BS$2:$BS$200,"Core",Sheet1!$BD$2:$BD$200,"+")</f>
        <v>3</v>
      </c>
      <c r="H44" s="11">
        <f>COUNTIFS(Sheet1!$AY$2:$AY$200,A44,Sheet1!$BS$2:$BS$200,"Core",Sheet1!$BD$2:$BD$200,"&lt;&gt;Not measured",Sheet1!$BD$2:$BD$200,"&lt;&gt;")</f>
        <v>3</v>
      </c>
    </row>
    <row r="45" spans="1:8" x14ac:dyDescent="0.25">
      <c r="A45" s="11" t="s">
        <v>128</v>
      </c>
      <c r="B45" s="11">
        <f>COUNTIFS(Sheet1!$AY$2:$AY$200,A45,Sheet1!$BS$2:$BS$200,"Core")</f>
        <v>2</v>
      </c>
      <c r="C45" s="11">
        <f>COUNTIFS(Sheet1!$AY$2:$AY$200,A45,Sheet1!$BS$2:$BS$200,"Core",Sheet1!$BB$2:$BB$200,"+")</f>
        <v>2</v>
      </c>
      <c r="D45" s="11">
        <f>COUNTIFS(Sheet1!$AY$2:$AY$200,A45,Sheet1!$BS$2:$BS$200,"Core",Sheet1!$BB$2:$BB$200,"&lt;&gt;Not measured",Sheet1!$BB$2:$BB$200,"&lt;&gt;")</f>
        <v>2</v>
      </c>
      <c r="E45" s="11">
        <f>COUNTIFS(Sheet1!$AY$2:$AY$200,A45,Sheet1!$BS$2:$BS$200,"Core",Sheet1!$BC$2:$BC$200,"+")</f>
        <v>1</v>
      </c>
      <c r="F45" s="11">
        <f>COUNTIFS(Sheet1!$AY$2:$AY$200,A45,Sheet1!$BS$2:$BS$200,"Core",Sheet1!$BC$2:$BC$200,"&lt;&gt;Not measured",Sheet1!$BC$2:$BC$200,"&lt;&gt;")</f>
        <v>1</v>
      </c>
      <c r="G45" s="11">
        <f>COUNTIFS(Sheet1!$AY$2:$AY$200,A45,Sheet1!$BS$2:$BS$200,"Core",Sheet1!$BD$2:$BD$200,"+")</f>
        <v>0</v>
      </c>
      <c r="H45" s="11">
        <f>COUNTIFS(Sheet1!$AY$2:$AY$200,A45,Sheet1!$BS$2:$BS$200,"Core",Sheet1!$BD$2:$BD$200,"&lt;&gt;Not measured",Sheet1!$BD$2:$BD$200,"&lt;&gt;")</f>
        <v>0</v>
      </c>
    </row>
    <row r="46" spans="1:8" x14ac:dyDescent="0.25">
      <c r="A46" s="11" t="s">
        <v>129</v>
      </c>
      <c r="B46" s="11">
        <f>COUNTIFS(Sheet1!$AY$2:$AY$200,A46,Sheet1!$BS$2:$BS$200,"Core")</f>
        <v>0</v>
      </c>
      <c r="C46" s="11">
        <f>COUNTIFS(Sheet1!$AY$2:$AY$200,A46,Sheet1!$BS$2:$BS$200,"Core",Sheet1!$BB$2:$BB$200,"+")</f>
        <v>0</v>
      </c>
      <c r="D46" s="11">
        <f>COUNTIFS(Sheet1!$AY$2:$AY$200,A46,Sheet1!$BS$2:$BS$200,"Core",Sheet1!$BB$2:$BB$200,"&lt;&gt;Not measured",Sheet1!$BB$2:$BB$200,"&lt;&gt;")</f>
        <v>0</v>
      </c>
      <c r="E46" s="11">
        <f>COUNTIFS(Sheet1!$AY$2:$AY$200,A46,Sheet1!$BS$2:$BS$200,"Core",Sheet1!$BC$2:$BC$200,"+")</f>
        <v>0</v>
      </c>
      <c r="F46" s="11">
        <f>COUNTIFS(Sheet1!$AY$2:$AY$200,A46,Sheet1!$BS$2:$BS$200,"Core",Sheet1!$BC$2:$BC$200,"&lt;&gt;Not measured",Sheet1!$BC$2:$BC$200,"&lt;&gt;")</f>
        <v>0</v>
      </c>
      <c r="G46" s="11">
        <f>COUNTIFS(Sheet1!$AY$2:$AY$200,A46,Sheet1!$BS$2:$BS$200,"Core",Sheet1!$BD$2:$BD$200,"+")</f>
        <v>0</v>
      </c>
      <c r="H46" s="11">
        <f>COUNTIFS(Sheet1!$AY$2:$AY$200,A46,Sheet1!$BS$2:$BS$200,"Core",Sheet1!$BD$2:$BD$200,"&lt;&gt;Not measured",Sheet1!$BD$2:$BD$200,"&lt;&gt;")</f>
        <v>0</v>
      </c>
    </row>
    <row r="48" spans="1:8" x14ac:dyDescent="0.25">
      <c r="A48" s="9" t="s">
        <v>130</v>
      </c>
    </row>
    <row r="49" spans="1:8" ht="25.5" x14ac:dyDescent="0.25">
      <c r="A49" s="10" t="s">
        <v>131</v>
      </c>
      <c r="B49" s="10" t="s">
        <v>108</v>
      </c>
      <c r="C49" s="10" t="s">
        <v>109</v>
      </c>
      <c r="D49" s="10" t="s">
        <v>110</v>
      </c>
      <c r="E49" s="10" t="s">
        <v>111</v>
      </c>
      <c r="F49" s="10" t="s">
        <v>112</v>
      </c>
      <c r="G49" s="10" t="s">
        <v>113</v>
      </c>
      <c r="H49" s="10" t="s">
        <v>114</v>
      </c>
    </row>
    <row r="50" spans="1:8" x14ac:dyDescent="0.25">
      <c r="A50" s="11" t="s">
        <v>132</v>
      </c>
      <c r="B50" s="11">
        <f>COUNTIFS(Sheet1!$AV$2:$AV$200,A50,Sheet1!$BS$2:$BS$200,"Core")</f>
        <v>2</v>
      </c>
      <c r="C50" s="11">
        <f>COUNTIFS(Sheet1!$AV$2:$AV$200,A50,Sheet1!$BS$2:$BS$200,"Core",Sheet1!$BB$2:$BB$200,"+")</f>
        <v>0</v>
      </c>
      <c r="D50" s="11">
        <f>COUNTIFS(Sheet1!$AV$2:$AV$200,A50,Sheet1!$BS$2:$BS$200,"Core",Sheet1!$BB$2:$BB$200,"&lt;&gt;Not measured",Sheet1!$BB$2:$BB$200,"&lt;&gt;")</f>
        <v>0</v>
      </c>
      <c r="E50" s="11">
        <f>COUNTIFS(Sheet1!$AV$2:$AV$200,A50,Sheet1!$BS$2:$BS$200,"Core",Sheet1!$BC$2:$BC$200,"+")</f>
        <v>1</v>
      </c>
      <c r="F50" s="11">
        <f>COUNTIFS(Sheet1!$AV$2:$AV$200,A50,Sheet1!$BS$2:$BS$200,"Core",Sheet1!$BC$2:$BC$200,"&lt;&gt;Not measured",Sheet1!$BC$2:$BC$200,"&lt;&gt;")</f>
        <v>1</v>
      </c>
      <c r="G50" s="11">
        <f>COUNTIFS(Sheet1!$AV$2:$AV$200,A50,Sheet1!$BS$2:$BS$200,"Core",Sheet1!$BD$2:$BD$200,"+")</f>
        <v>2</v>
      </c>
      <c r="H50" s="11">
        <f>COUNTIFS(Sheet1!$AV$2:$AV$200,A50,Sheet1!$BS$2:$BS$200,"Core",Sheet1!$BD$2:$BD$200,"&lt;&gt;Not measured",Sheet1!$BD$2:$BD$200,"&lt;&gt;")</f>
        <v>2</v>
      </c>
    </row>
    <row r="51" spans="1:8" x14ac:dyDescent="0.25">
      <c r="A51" s="11" t="s">
        <v>133</v>
      </c>
      <c r="B51" s="11">
        <f>COUNTIFS(Sheet1!$AV$2:$AV$200,A51,Sheet1!$BS$2:$BS$200,"Core")</f>
        <v>1</v>
      </c>
      <c r="C51" s="11">
        <f>COUNTIFS(Sheet1!$AV$2:$AV$200,A51,Sheet1!$BS$2:$BS$200,"Core",Sheet1!$BB$2:$BB$200,"+")</f>
        <v>0</v>
      </c>
      <c r="D51" s="11">
        <f>COUNTIFS(Sheet1!$AV$2:$AV$200,A51,Sheet1!$BS$2:$BS$200,"Core",Sheet1!$BB$2:$BB$200,"&lt;&gt;Not measured",Sheet1!$BB$2:$BB$200,"&lt;&gt;")</f>
        <v>0</v>
      </c>
      <c r="E51" s="11">
        <f>COUNTIFS(Sheet1!$AV$2:$AV$200,A51,Sheet1!$BS$2:$BS$200,"Core",Sheet1!$BC$2:$BC$200,"+")</f>
        <v>1</v>
      </c>
      <c r="F51" s="11">
        <f>COUNTIFS(Sheet1!$AV$2:$AV$200,A51,Sheet1!$BS$2:$BS$200,"Core",Sheet1!$BC$2:$BC$200,"&lt;&gt;Not measured",Sheet1!$BC$2:$BC$200,"&lt;&gt;")</f>
        <v>1</v>
      </c>
      <c r="G51" s="11">
        <f>COUNTIFS(Sheet1!$AV$2:$AV$200,A51,Sheet1!$BS$2:$BS$200,"Core",Sheet1!$BD$2:$BD$200,"+")</f>
        <v>0</v>
      </c>
      <c r="H51" s="11">
        <f>COUNTIFS(Sheet1!$AV$2:$AV$200,A51,Sheet1!$BS$2:$BS$200,"Core",Sheet1!$BD$2:$BD$200,"&lt;&gt;Not measured",Sheet1!$BD$2:$BD$200,"&lt;&gt;")</f>
        <v>0</v>
      </c>
    </row>
    <row r="52" spans="1:8" x14ac:dyDescent="0.25">
      <c r="A52" s="11" t="s">
        <v>134</v>
      </c>
      <c r="B52" s="11">
        <f>COUNTIFS(Sheet1!$AV$2:$AV$200,A52,Sheet1!$BS$2:$BS$200,"Core")</f>
        <v>1</v>
      </c>
      <c r="C52" s="11">
        <f>COUNTIFS(Sheet1!$AV$2:$AV$200,A52,Sheet1!$BS$2:$BS$200,"Core",Sheet1!$BB$2:$BB$200,"+")</f>
        <v>0</v>
      </c>
      <c r="D52" s="11">
        <f>COUNTIFS(Sheet1!$AV$2:$AV$200,A52,Sheet1!$BS$2:$BS$200,"Core",Sheet1!$BB$2:$BB$200,"&lt;&gt;Not measured",Sheet1!$BB$2:$BB$200,"&lt;&gt;")</f>
        <v>0</v>
      </c>
      <c r="E52" s="11">
        <f>COUNTIFS(Sheet1!$AV$2:$AV$200,A52,Sheet1!$BS$2:$BS$200,"Core",Sheet1!$BC$2:$BC$200,"+")</f>
        <v>0</v>
      </c>
      <c r="F52" s="11">
        <f>COUNTIFS(Sheet1!$AV$2:$AV$200,A52,Sheet1!$BS$2:$BS$200,"Core",Sheet1!$BC$2:$BC$200,"&lt;&gt;Not measured",Sheet1!$BC$2:$BC$200,"&lt;&gt;")</f>
        <v>0</v>
      </c>
      <c r="G52" s="11">
        <f>COUNTIFS(Sheet1!$AV$2:$AV$200,A52,Sheet1!$BS$2:$BS$200,"Core",Sheet1!$BD$2:$BD$200,"+")</f>
        <v>1</v>
      </c>
      <c r="H52" s="11">
        <f>COUNTIFS(Sheet1!$AV$2:$AV$200,A52,Sheet1!$BS$2:$BS$200,"Core",Sheet1!$BD$2:$BD$200,"&lt;&gt;Not measured",Sheet1!$BD$2:$BD$200,"&lt;&gt;")</f>
        <v>1</v>
      </c>
    </row>
    <row r="53" spans="1:8" x14ac:dyDescent="0.25">
      <c r="A53" s="11" t="s">
        <v>135</v>
      </c>
      <c r="B53" s="11">
        <f>COUNTIFS(Sheet1!$AV$2:$AV$200,A53,Sheet1!$BS$2:$BS$200,"Core")</f>
        <v>3</v>
      </c>
      <c r="C53" s="11">
        <f>COUNTIFS(Sheet1!$AV$2:$AV$200,A53,Sheet1!$BS$2:$BS$200,"Core",Sheet1!$BB$2:$BB$200,"+")</f>
        <v>0</v>
      </c>
      <c r="D53" s="11">
        <f>COUNTIFS(Sheet1!$AV$2:$AV$200,A53,Sheet1!$BS$2:$BS$200,"Core",Sheet1!$BB$2:$BB$200,"&lt;&gt;Not measured",Sheet1!$BB$2:$BB$200,"&lt;&gt;")</f>
        <v>1</v>
      </c>
      <c r="E53" s="11">
        <f>COUNTIFS(Sheet1!$AV$2:$AV$200,A53,Sheet1!$BS$2:$BS$200,"Core",Sheet1!$BC$2:$BC$200,"+")</f>
        <v>2</v>
      </c>
      <c r="F53" s="11">
        <f>COUNTIFS(Sheet1!$AV$2:$AV$200,A53,Sheet1!$BS$2:$BS$200,"Core",Sheet1!$BC$2:$BC$200,"&lt;&gt;Not measured",Sheet1!$BC$2:$BC$200,"&lt;&gt;")</f>
        <v>2</v>
      </c>
      <c r="G53" s="11">
        <f>COUNTIFS(Sheet1!$AV$2:$AV$200,A53,Sheet1!$BS$2:$BS$200,"Core",Sheet1!$BD$2:$BD$200,"+")</f>
        <v>3</v>
      </c>
      <c r="H53" s="11">
        <f>COUNTIFS(Sheet1!$AV$2:$AV$200,A53,Sheet1!$BS$2:$BS$200,"Core",Sheet1!$BD$2:$BD$200,"&lt;&gt;Not measured",Sheet1!$BD$2:$BD$200,"&lt;&gt;")</f>
        <v>3</v>
      </c>
    </row>
    <row r="54" spans="1:8" x14ac:dyDescent="0.25">
      <c r="A54" s="11" t="s">
        <v>136</v>
      </c>
      <c r="B54" s="11">
        <f>COUNTIFS(Sheet1!$AV$2:$AV$200,A54,Sheet1!$BS$2:$BS$200,"Core")</f>
        <v>1</v>
      </c>
      <c r="C54" s="11">
        <f>COUNTIFS(Sheet1!$AV$2:$AV$200,A54,Sheet1!$BS$2:$BS$200,"Core",Sheet1!$BB$2:$BB$200,"+")</f>
        <v>1</v>
      </c>
      <c r="D54" s="11">
        <f>COUNTIFS(Sheet1!$AV$2:$AV$200,A54,Sheet1!$BS$2:$BS$200,"Core",Sheet1!$BB$2:$BB$200,"&lt;&gt;Not measured",Sheet1!$BB$2:$BB$200,"&lt;&gt;")</f>
        <v>1</v>
      </c>
      <c r="E54" s="11">
        <f>COUNTIFS(Sheet1!$AV$2:$AV$200,A54,Sheet1!$BS$2:$BS$200,"Core",Sheet1!$BC$2:$BC$200,"+")</f>
        <v>0</v>
      </c>
      <c r="F54" s="11">
        <f>COUNTIFS(Sheet1!$AV$2:$AV$200,A54,Sheet1!$BS$2:$BS$200,"Core",Sheet1!$BC$2:$BC$200,"&lt;&gt;Not measured",Sheet1!$BC$2:$BC$200,"&lt;&gt;")</f>
        <v>0</v>
      </c>
      <c r="G54" s="11">
        <f>COUNTIFS(Sheet1!$AV$2:$AV$200,A54,Sheet1!$BS$2:$BS$200,"Core",Sheet1!$BD$2:$BD$200,"+")</f>
        <v>0</v>
      </c>
      <c r="H54" s="11">
        <f>COUNTIFS(Sheet1!$AV$2:$AV$200,A54,Sheet1!$BS$2:$BS$200,"Core",Sheet1!$BD$2:$BD$200,"&lt;&gt;Not measured",Sheet1!$BD$2:$BD$200,"&lt;&gt;")</f>
        <v>0</v>
      </c>
    </row>
    <row r="55" spans="1:8" x14ac:dyDescent="0.25">
      <c r="A55" s="11" t="s">
        <v>137</v>
      </c>
      <c r="B55" s="11">
        <f>COUNTIFS(Sheet1!$AV$2:$AV$200,A55,Sheet1!$BS$2:$BS$200,"Core")</f>
        <v>2</v>
      </c>
      <c r="C55" s="11">
        <f>COUNTIFS(Sheet1!$AV$2:$AV$200,A55,Sheet1!$BS$2:$BS$200,"Core",Sheet1!$BB$2:$BB$200,"+")</f>
        <v>0</v>
      </c>
      <c r="D55" s="11">
        <f>COUNTIFS(Sheet1!$AV$2:$AV$200,A55,Sheet1!$BS$2:$BS$200,"Core",Sheet1!$BB$2:$BB$200,"&lt;&gt;Not measured",Sheet1!$BB$2:$BB$200,"&lt;&gt;")</f>
        <v>0</v>
      </c>
      <c r="E55" s="11">
        <f>COUNTIFS(Sheet1!$AV$2:$AV$200,A55,Sheet1!$BS$2:$BS$200,"Core",Sheet1!$BC$2:$BC$200,"+")</f>
        <v>1</v>
      </c>
      <c r="F55" s="11">
        <f>COUNTIFS(Sheet1!$AV$2:$AV$200,A55,Sheet1!$BS$2:$BS$200,"Core",Sheet1!$BC$2:$BC$200,"&lt;&gt;Not measured",Sheet1!$BC$2:$BC$200,"&lt;&gt;")</f>
        <v>1</v>
      </c>
      <c r="G55" s="11">
        <f>COUNTIFS(Sheet1!$AV$2:$AV$200,A55,Sheet1!$BS$2:$BS$200,"Core",Sheet1!$BD$2:$BD$200,"+")</f>
        <v>2</v>
      </c>
      <c r="H55" s="11">
        <f>COUNTIFS(Sheet1!$AV$2:$AV$200,A55,Sheet1!$BS$2:$BS$200,"Core",Sheet1!$BD$2:$BD$200,"&lt;&gt;Not measured",Sheet1!$BD$2:$BD$200,"&lt;&gt;")</f>
        <v>2</v>
      </c>
    </row>
    <row r="56" spans="1:8" x14ac:dyDescent="0.25">
      <c r="A56" s="11" t="s">
        <v>138</v>
      </c>
      <c r="B56" s="11">
        <f>COUNTIFS(Sheet1!$AV$2:$AV$200,A56,Sheet1!$BS$2:$BS$200,"Core")</f>
        <v>10</v>
      </c>
      <c r="C56" s="11">
        <f>COUNTIFS(Sheet1!$AV$2:$AV$200,A56,Sheet1!$BS$2:$BS$200,"Core",Sheet1!$BB$2:$BB$200,"+")</f>
        <v>5</v>
      </c>
      <c r="D56" s="11">
        <f>COUNTIFS(Sheet1!$AV$2:$AV$200,A56,Sheet1!$BS$2:$BS$200,"Core",Sheet1!$BB$2:$BB$200,"&lt;&gt;Not measured",Sheet1!$BB$2:$BB$200,"&lt;&gt;")</f>
        <v>6</v>
      </c>
      <c r="E56" s="11">
        <f>COUNTIFS(Sheet1!$AV$2:$AV$200,A56,Sheet1!$BS$2:$BS$200,"Core",Sheet1!$BC$2:$BC$200,"+")</f>
        <v>9</v>
      </c>
      <c r="F56" s="11">
        <f>COUNTIFS(Sheet1!$AV$2:$AV$200,A56,Sheet1!$BS$2:$BS$200,"Core",Sheet1!$BC$2:$BC$200,"&lt;&gt;Not measured",Sheet1!$BC$2:$BC$200,"&lt;&gt;")</f>
        <v>9</v>
      </c>
      <c r="G56" s="11">
        <f>COUNTIFS(Sheet1!$AV$2:$AV$200,A56,Sheet1!$BS$2:$BS$200,"Core",Sheet1!$BD$2:$BD$200,"+")</f>
        <v>4</v>
      </c>
      <c r="H56" s="11">
        <f>COUNTIFS(Sheet1!$AV$2:$AV$200,A56,Sheet1!$BS$2:$BS$200,"Core",Sheet1!$BD$2:$BD$200,"&lt;&gt;Not measured",Sheet1!$BD$2:$BD$200,"&lt;&gt;")</f>
        <v>5</v>
      </c>
    </row>
    <row r="57" spans="1:8" x14ac:dyDescent="0.25">
      <c r="A57" s="11" t="s">
        <v>139</v>
      </c>
      <c r="B57" s="11">
        <f>COUNTIFS(Sheet1!$AV$2:$AV$200,A57,Sheet1!$BS$2:$BS$200,"Core")</f>
        <v>1</v>
      </c>
      <c r="C57" s="11">
        <f>COUNTIFS(Sheet1!$AV$2:$AV$200,A57,Sheet1!$BS$2:$BS$200,"Core",Sheet1!$BB$2:$BB$200,"+")</f>
        <v>1</v>
      </c>
      <c r="D57" s="11">
        <f>COUNTIFS(Sheet1!$AV$2:$AV$200,A57,Sheet1!$BS$2:$BS$200,"Core",Sheet1!$BB$2:$BB$200,"&lt;&gt;Not measured",Sheet1!$BB$2:$BB$200,"&lt;&gt;")</f>
        <v>1</v>
      </c>
      <c r="E57" s="11">
        <f>COUNTIFS(Sheet1!$AV$2:$AV$200,A57,Sheet1!$BS$2:$BS$200,"Core",Sheet1!$BC$2:$BC$200,"+")</f>
        <v>1</v>
      </c>
      <c r="F57" s="11">
        <f>COUNTIFS(Sheet1!$AV$2:$AV$200,A57,Sheet1!$BS$2:$BS$200,"Core",Sheet1!$BC$2:$BC$200,"&lt;&gt;Not measured",Sheet1!$BC$2:$BC$200,"&lt;&gt;")</f>
        <v>1</v>
      </c>
      <c r="G57" s="11">
        <f>COUNTIFS(Sheet1!$AV$2:$AV$200,A57,Sheet1!$BS$2:$BS$200,"Core",Sheet1!$BD$2:$BD$200,"+")</f>
        <v>1</v>
      </c>
      <c r="H57" s="11">
        <f>COUNTIFS(Sheet1!$AV$2:$AV$200,A57,Sheet1!$BS$2:$BS$200,"Core",Sheet1!$BD$2:$BD$200,"&lt;&gt;Not measured",Sheet1!$BD$2:$BD$200,"&lt;&gt;")</f>
        <v>1</v>
      </c>
    </row>
    <row r="59" spans="1:8" x14ac:dyDescent="0.25">
      <c r="A59" s="9" t="s">
        <v>140</v>
      </c>
    </row>
    <row r="60" spans="1:8" ht="25.5" x14ac:dyDescent="0.25">
      <c r="A60" s="10" t="s">
        <v>141</v>
      </c>
      <c r="B60" s="10" t="s">
        <v>142</v>
      </c>
      <c r="C60" s="10" t="s">
        <v>143</v>
      </c>
    </row>
    <row r="61" spans="1:8" x14ac:dyDescent="0.25">
      <c r="A61" s="11" t="s">
        <v>144</v>
      </c>
      <c r="B61" s="11">
        <f>(COUNTIFS(Sheet1!$AS$2:$AS$200,"Asia")-COUNTIFS(Sheet1!$AS$2:$AS$200,"Asia",Sheet1!$BV$2:$BV$200,"*RETRACTED*"))</f>
        <v>22</v>
      </c>
      <c r="C61" s="11">
        <f>COUNTIFS(Sheet1!$AS$2:$AS$200,"Asia",Sheet1!$BS$2:$BS$200,"Core")</f>
        <v>11</v>
      </c>
    </row>
    <row r="62" spans="1:8" x14ac:dyDescent="0.25">
      <c r="A62" s="11" t="s">
        <v>145</v>
      </c>
      <c r="B62" s="11">
        <f>(COUNTIFS(Sheet1!$AS$2:$AS$200,"Europe")-COUNTIFS(Sheet1!$AS$2:$AS$200,"Europe",Sheet1!$BV$2:$BV$200,"*RETRACTED*"))</f>
        <v>8</v>
      </c>
      <c r="C62" s="11">
        <f>COUNTIFS(Sheet1!$AS$2:$AS$200,"Europe",Sheet1!$BS$2:$BS$200,"Core")</f>
        <v>3</v>
      </c>
    </row>
    <row r="63" spans="1:8" x14ac:dyDescent="0.25">
      <c r="A63" s="11" t="s">
        <v>146</v>
      </c>
      <c r="B63" s="11">
        <f>(COUNTIFS(Sheet1!$AS$2:$AS$200,"North America")-COUNTIFS(Sheet1!$AS$2:$AS$200,"North America",Sheet1!$BV$2:$BV$200,"*RETRACTED*"))</f>
        <v>10</v>
      </c>
      <c r="C63" s="11">
        <f>COUNTIFS(Sheet1!$AS$2:$AS$200,"North America",Sheet1!$BS$2:$BS$200,"Core")</f>
        <v>4</v>
      </c>
    </row>
    <row r="64" spans="1:8" x14ac:dyDescent="0.25">
      <c r="A64" s="11" t="s">
        <v>147</v>
      </c>
      <c r="B64" s="11">
        <f>(COUNTIFS(Sheet1!$AS$2:$AS$200,"South America")-COUNTIFS(Sheet1!$AS$2:$AS$200,"South America",Sheet1!$BV$2:$BV$200,"*RETRACTED*"))</f>
        <v>2</v>
      </c>
      <c r="C64" s="11">
        <f>COUNTIFS(Sheet1!$AS$2:$AS$200,"South America",Sheet1!$BS$2:$BS$200,"Core")</f>
        <v>1</v>
      </c>
    </row>
    <row r="65" spans="1:3" x14ac:dyDescent="0.25">
      <c r="A65" s="11" t="s">
        <v>148</v>
      </c>
      <c r="B65" s="11">
        <f>(COUNTIFS(Sheet1!$AS$2:$AS$200,"Africa")-COUNTIFS(Sheet1!$AS$2:$AS$200,"Africa",Sheet1!$BV$2:$BV$200,"*RETRACTED*"))</f>
        <v>1</v>
      </c>
      <c r="C65" s="11">
        <f>COUNTIFS(Sheet1!$AS$2:$AS$200,"Africa",Sheet1!$BS$2:$BS$200,"Core")</f>
        <v>1</v>
      </c>
    </row>
    <row r="66" spans="1:3" x14ac:dyDescent="0.25">
      <c r="A66" s="11" t="s">
        <v>149</v>
      </c>
      <c r="B66" s="11">
        <f>(COUNTIFS(Sheet1!$AS$2:$AS$200,"Oceania")-COUNTIFS(Sheet1!$AS$2:$AS$200,"Oceania",Sheet1!$BV$2:$BV$200,"*RETRACTED*"))</f>
        <v>1</v>
      </c>
      <c r="C66" s="11">
        <f>COUNTIFS(Sheet1!$AS$2:$AS$200,"Oceania",Sheet1!$BS$2:$BS$200,"Core")</f>
        <v>1</v>
      </c>
    </row>
    <row r="67" spans="1:3" x14ac:dyDescent="0.25">
      <c r="A67" s="13" t="s">
        <v>150</v>
      </c>
      <c r="B67" s="13">
        <f>SUM(B61:B66)</f>
        <v>44</v>
      </c>
      <c r="C67" s="13">
        <f>SUM(C61:C66)</f>
        <v>21</v>
      </c>
    </row>
    <row r="69" spans="1:3" x14ac:dyDescent="0.25">
      <c r="A69" s="9" t="s">
        <v>151</v>
      </c>
    </row>
    <row r="70" spans="1:3" ht="25.5" x14ac:dyDescent="0.25">
      <c r="A70" s="10" t="s">
        <v>141</v>
      </c>
      <c r="B70" s="10" t="s">
        <v>142</v>
      </c>
      <c r="C70" s="10" t="s">
        <v>143</v>
      </c>
    </row>
    <row r="71" spans="1:3" x14ac:dyDescent="0.25">
      <c r="A71" s="11" t="s">
        <v>152</v>
      </c>
      <c r="B71" s="11">
        <f>(COUNTIFS(Sheet1!$AR$2:$AR$200,"USA")-COUNTIFS(Sheet1!$AR$2:$AR$200,"USA",Sheet1!$BV$2:$BV$200,"*RETRACTED*"))</f>
        <v>7</v>
      </c>
      <c r="C71" s="11">
        <f>COUNTIFS(Sheet1!$AR$2:$AR$200,"USA",Sheet1!$BS$2:$BS$200,"Core")</f>
        <v>3</v>
      </c>
    </row>
    <row r="72" spans="1:3" x14ac:dyDescent="0.25">
      <c r="A72" s="11" t="s">
        <v>153</v>
      </c>
      <c r="B72" s="11">
        <f>(COUNTIFS(Sheet1!$AR$2:$AR$200,"China")-COUNTIFS(Sheet1!$AR$2:$AR$200,"China",Sheet1!$BV$2:$BV$200,"*RETRACTED*"))</f>
        <v>4</v>
      </c>
      <c r="C72" s="11">
        <f>COUNTIFS(Sheet1!$AR$2:$AR$200,"China",Sheet1!$BS$2:$BS$200,"Core")</f>
        <v>1</v>
      </c>
    </row>
    <row r="73" spans="1:3" x14ac:dyDescent="0.25">
      <c r="A73" s="11" t="s">
        <v>154</v>
      </c>
      <c r="B73" s="11">
        <f>(COUNTIFS(Sheet1!$AR$2:$AR$200,"Indonesia")-COUNTIFS(Sheet1!$AR$2:$AR$200,"Indonesia",Sheet1!$BV$2:$BV$200,"*RETRACTED*"))</f>
        <v>4</v>
      </c>
      <c r="C73" s="11">
        <f>COUNTIFS(Sheet1!$AR$2:$AR$200,"Indonesia",Sheet1!$BS$2:$BS$200,"Core")</f>
        <v>3</v>
      </c>
    </row>
    <row r="74" spans="1:3" x14ac:dyDescent="0.25">
      <c r="A74" s="11" t="s">
        <v>155</v>
      </c>
      <c r="B74" s="11">
        <f>(COUNTIFS(Sheet1!$AR$2:$AR$200,"Malaysia")-COUNTIFS(Sheet1!$AR$2:$AR$200,"Malaysia",Sheet1!$BV$2:$BV$200,"*RETRACTED*"))</f>
        <v>4</v>
      </c>
      <c r="C74" s="11">
        <f>COUNTIFS(Sheet1!$AR$2:$AR$200,"Malaysia",Sheet1!$BS$2:$BS$200,"Core")</f>
        <v>2</v>
      </c>
    </row>
    <row r="75" spans="1:3" x14ac:dyDescent="0.25">
      <c r="A75" s="11" t="s">
        <v>156</v>
      </c>
      <c r="B75" s="11">
        <f>(COUNTIFS(Sheet1!$AR$2:$AR$200,"India")-COUNTIFS(Sheet1!$AR$2:$AR$200,"India",Sheet1!$BV$2:$BV$200,"*RETRACTED*"))</f>
        <v>3</v>
      </c>
      <c r="C75" s="11">
        <f>COUNTIFS(Sheet1!$AR$2:$AR$200,"India",Sheet1!$BS$2:$BS$200,"Core")</f>
        <v>1</v>
      </c>
    </row>
    <row r="76" spans="1:3" x14ac:dyDescent="0.25">
      <c r="A76" s="11" t="s">
        <v>157</v>
      </c>
      <c r="B76" s="11">
        <f>(COUNTIFS(Sheet1!$AR$2:$AR$200,"Canada")-COUNTIFS(Sheet1!$AR$2:$AR$200,"Canada",Sheet1!$BV$2:$BV$200,"*RETRACTED*"))</f>
        <v>2</v>
      </c>
      <c r="C76" s="11">
        <f>COUNTIFS(Sheet1!$AR$2:$AR$200,"Canada",Sheet1!$BS$2:$BS$200,"Core")</f>
        <v>0</v>
      </c>
    </row>
    <row r="77" spans="1:3" x14ac:dyDescent="0.25">
      <c r="A77" s="11" t="s">
        <v>158</v>
      </c>
      <c r="B77" s="11">
        <f>(COUNTIFS(Sheet1!$AR$2:$AR$200,"Italy")-COUNTIFS(Sheet1!$AR$2:$AR$200,"Italy",Sheet1!$BV$2:$BV$200,"*RETRACTED*"))</f>
        <v>2</v>
      </c>
      <c r="C77" s="11">
        <f>COUNTIFS(Sheet1!$AR$2:$AR$200,"Italy",Sheet1!$BS$2:$BS$200,"Core")</f>
        <v>1</v>
      </c>
    </row>
    <row r="78" spans="1:3" x14ac:dyDescent="0.25">
      <c r="A78" s="11" t="s">
        <v>159</v>
      </c>
      <c r="B78" s="11">
        <f>(COUNTIFS(Sheet1!$AR$2:$AR$200,"Taiwan")-COUNTIFS(Sheet1!$AR$2:$AR$200,"Taiwan",Sheet1!$BV$2:$BV$200,"*RETRACTED*"))</f>
        <v>2</v>
      </c>
      <c r="C78" s="11">
        <f>COUNTIFS(Sheet1!$AR$2:$AR$200,"Taiwan",Sheet1!$BS$2:$BS$200,"Core")</f>
        <v>2</v>
      </c>
    </row>
    <row r="79" spans="1:3" x14ac:dyDescent="0.25">
      <c r="A79" s="11" t="s">
        <v>160</v>
      </c>
      <c r="B79" s="11">
        <f>(COUNTIFS(Sheet1!$AR$2:$AR$200,"Argentina")-COUNTIFS(Sheet1!$AR$2:$AR$200,"Argentina",Sheet1!$BV$2:$BV$200,"*RETRACTED*"))</f>
        <v>1</v>
      </c>
      <c r="C79" s="11">
        <f>COUNTIFS(Sheet1!$AR$2:$AR$200,"Argentina",Sheet1!$BS$2:$BS$200,"Core")</f>
        <v>1</v>
      </c>
    </row>
    <row r="80" spans="1:3" x14ac:dyDescent="0.25">
      <c r="A80" s="11" t="s">
        <v>161</v>
      </c>
      <c r="B80" s="11">
        <f>(COUNTIFS(Sheet1!$AR$2:$AR$200,"Australia")-COUNTIFS(Sheet1!$AR$2:$AR$200,"Australia",Sheet1!$BV$2:$BV$200,"*RETRACTED*"))</f>
        <v>1</v>
      </c>
      <c r="C80" s="11">
        <f>COUNTIFS(Sheet1!$AR$2:$AR$200,"Australia",Sheet1!$BS$2:$BS$200,"Core")</f>
        <v>1</v>
      </c>
    </row>
    <row r="81" spans="1:3" x14ac:dyDescent="0.25">
      <c r="A81" s="11" t="s">
        <v>162</v>
      </c>
      <c r="B81" s="11">
        <f>(COUNTIFS(Sheet1!$AR$2:$AR$200,"Belgium")-COUNTIFS(Sheet1!$AR$2:$AR$200,"Belgium",Sheet1!$BV$2:$BV$200,"*RETRACTED*"))</f>
        <v>1</v>
      </c>
      <c r="C81" s="11">
        <f>COUNTIFS(Sheet1!$AR$2:$AR$200,"Belgium",Sheet1!$BS$2:$BS$200,"Core")</f>
        <v>0</v>
      </c>
    </row>
    <row r="82" spans="1:3" x14ac:dyDescent="0.25">
      <c r="A82" s="11" t="s">
        <v>163</v>
      </c>
      <c r="B82" s="11">
        <f>(COUNTIFS(Sheet1!$AR$2:$AR$200,"Colombia")-COUNTIFS(Sheet1!$AR$2:$AR$200,"Colombia",Sheet1!$BV$2:$BV$200,"*RETRACTED*"))</f>
        <v>1</v>
      </c>
      <c r="C82" s="11">
        <f>COUNTIFS(Sheet1!$AR$2:$AR$200,"Colombia",Sheet1!$BS$2:$BS$200,"Core")</f>
        <v>0</v>
      </c>
    </row>
    <row r="83" spans="1:3" x14ac:dyDescent="0.25">
      <c r="A83" s="11" t="s">
        <v>164</v>
      </c>
      <c r="B83" s="11">
        <f>(COUNTIFS(Sheet1!$AR$2:$AR$200,"France")-COUNTIFS(Sheet1!$AR$2:$AR$200,"France",Sheet1!$BV$2:$BV$200,"*RETRACTED*"))</f>
        <v>1</v>
      </c>
      <c r="C83" s="11">
        <f>COUNTIFS(Sheet1!$AR$2:$AR$200,"France",Sheet1!$BS$2:$BS$200,"Core")</f>
        <v>1</v>
      </c>
    </row>
    <row r="84" spans="1:3" x14ac:dyDescent="0.25">
      <c r="A84" s="11" t="s">
        <v>165</v>
      </c>
      <c r="B84" s="11">
        <f>(COUNTIFS(Sheet1!$AR$2:$AR$200,"Kazakhstan")-COUNTIFS(Sheet1!$AR$2:$AR$200,"Kazakhstan",Sheet1!$BV$2:$BV$200,"*RETRACTED*"))</f>
        <v>1</v>
      </c>
      <c r="C84" s="11">
        <f>COUNTIFS(Sheet1!$AR$2:$AR$200,"Kazakhstan",Sheet1!$BS$2:$BS$200,"Core")</f>
        <v>1</v>
      </c>
    </row>
    <row r="85" spans="1:3" x14ac:dyDescent="0.25">
      <c r="A85" s="11" t="s">
        <v>166</v>
      </c>
      <c r="B85" s="11">
        <f>(COUNTIFS(Sheet1!$AR$2:$AR$200,"Mexico")-COUNTIFS(Sheet1!$AR$2:$AR$200,"Mexico",Sheet1!$BV$2:$BV$200,"*RETRACTED*"))</f>
        <v>1</v>
      </c>
      <c r="C85" s="11">
        <f>COUNTIFS(Sheet1!$AR$2:$AR$200,"Mexico",Sheet1!$BS$2:$BS$200,"Core")</f>
        <v>1</v>
      </c>
    </row>
    <row r="86" spans="1:3" x14ac:dyDescent="0.25">
      <c r="A86" s="11" t="s">
        <v>167</v>
      </c>
      <c r="B86" s="11">
        <f>(COUNTIFS(Sheet1!$AR$2:$AR$200,"Norway")-COUNTIFS(Sheet1!$AR$2:$AR$200,"Norway",Sheet1!$BV$2:$BV$200,"*RETRACTED*"))</f>
        <v>1</v>
      </c>
      <c r="C86" s="11">
        <f>COUNTIFS(Sheet1!$AR$2:$AR$200,"Norway",Sheet1!$BS$2:$BS$200,"Core")</f>
        <v>0</v>
      </c>
    </row>
    <row r="87" spans="1:3" x14ac:dyDescent="0.25">
      <c r="A87" s="11" t="s">
        <v>168</v>
      </c>
      <c r="B87" s="11">
        <f>(COUNTIFS(Sheet1!$AR$2:$AR$200,"Poland")-COUNTIFS(Sheet1!$AR$2:$AR$200,"Poland",Sheet1!$BV$2:$BV$200,"*RETRACTED*"))</f>
        <v>1</v>
      </c>
      <c r="C87" s="11">
        <f>COUNTIFS(Sheet1!$AR$2:$AR$200,"Poland",Sheet1!$BS$2:$BS$200,"Core")</f>
        <v>0</v>
      </c>
    </row>
    <row r="88" spans="1:3" x14ac:dyDescent="0.25">
      <c r="A88" s="11" t="s">
        <v>169</v>
      </c>
      <c r="B88" s="11">
        <f>(COUNTIFS(Sheet1!$AR$2:$AR$200,"Romania")-COUNTIFS(Sheet1!$AR$2:$AR$200,"Romania",Sheet1!$BV$2:$BV$200,"*RETRACTED*"))</f>
        <v>1</v>
      </c>
      <c r="C88" s="11">
        <f>COUNTIFS(Sheet1!$AR$2:$AR$200,"Romania",Sheet1!$BS$2:$BS$200,"Core")</f>
        <v>0</v>
      </c>
    </row>
    <row r="89" spans="1:3" x14ac:dyDescent="0.25">
      <c r="A89" s="11" t="s">
        <v>170</v>
      </c>
      <c r="B89" s="11">
        <f>(COUNTIFS(Sheet1!$AR$2:$AR$200,"South Africa")-COUNTIFS(Sheet1!$AR$2:$AR$200,"South Africa",Sheet1!$BV$2:$BV$200,"*RETRACTED*"))</f>
        <v>1</v>
      </c>
      <c r="C89" s="11">
        <f>COUNTIFS(Sheet1!$AR$2:$AR$200,"South Africa",Sheet1!$BS$2:$BS$200,"Core")</f>
        <v>1</v>
      </c>
    </row>
    <row r="90" spans="1:3" x14ac:dyDescent="0.25">
      <c r="A90" s="11" t="s">
        <v>171</v>
      </c>
      <c r="B90" s="11">
        <f>(COUNTIFS(Sheet1!$AR$2:$AR$200,"Spain")-COUNTIFS(Sheet1!$AR$2:$AR$200,"Spain",Sheet1!$BV$2:$BV$200,"*RETRACTED*"))</f>
        <v>1</v>
      </c>
      <c r="C90" s="11">
        <f>COUNTIFS(Sheet1!$AR$2:$AR$200,"Spain",Sheet1!$BS$2:$BS$200,"Core")</f>
        <v>1</v>
      </c>
    </row>
    <row r="91" spans="1:3" x14ac:dyDescent="0.25">
      <c r="A91" s="11" t="s">
        <v>172</v>
      </c>
      <c r="B91" s="11">
        <f>(COUNTIFS(Sheet1!$AR$2:$AR$200,"Thailand")-COUNTIFS(Sheet1!$AR$2:$AR$200,"Thailand",Sheet1!$BV$2:$BV$200,"*RETRACTED*"))</f>
        <v>1</v>
      </c>
      <c r="C91" s="11">
        <f>COUNTIFS(Sheet1!$AR$2:$AR$200,"Thailand",Sheet1!$BS$2:$BS$200,"Core")</f>
        <v>0</v>
      </c>
    </row>
    <row r="92" spans="1:3" x14ac:dyDescent="0.25">
      <c r="A92" s="11" t="s">
        <v>173</v>
      </c>
      <c r="B92" s="11">
        <f>(COUNTIFS(Sheet1!$AR$2:$AR$200,"Turkey")-COUNTIFS(Sheet1!$AR$2:$AR$200,"Turkey",Sheet1!$BV$2:$BV$200,"*RETRACTED*"))</f>
        <v>1</v>
      </c>
      <c r="C92" s="11">
        <f>COUNTIFS(Sheet1!$AR$2:$AR$200,"Turkey",Sheet1!$BS$2:$BS$200,"Core")</f>
        <v>0</v>
      </c>
    </row>
    <row r="93" spans="1:3" x14ac:dyDescent="0.25">
      <c r="A93" s="11" t="s">
        <v>174</v>
      </c>
      <c r="B93" s="11">
        <f>(COUNTIFS(Sheet1!$AR$2:$AR$200,"United Arab Emirates")-COUNTIFS(Sheet1!$AR$2:$AR$200,"United Arab Emirates",Sheet1!$BV$2:$BV$200,"*RETRACTED*"))</f>
        <v>1</v>
      </c>
      <c r="C93" s="11">
        <f>COUNTIFS(Sheet1!$AR$2:$AR$200,"United Arab Emirates",Sheet1!$BS$2:$BS$200,"Core")</f>
        <v>1</v>
      </c>
    </row>
    <row r="94" spans="1:3" x14ac:dyDescent="0.25">
      <c r="A94" s="11" t="s">
        <v>175</v>
      </c>
      <c r="B94" s="11">
        <f>(COUNTIFS(Sheet1!$AR$2:$AR$200,"Vietnam")-COUNTIFS(Sheet1!$AR$2:$AR$200,"Vietnam",Sheet1!$BV$2:$BV$200,"*RETRACTED*"))</f>
        <v>1</v>
      </c>
      <c r="C94" s="11">
        <f>COUNTIFS(Sheet1!$AR$2:$AR$200,"Vietnam",Sheet1!$BS$2:$BS$200,"Core")</f>
        <v>0</v>
      </c>
    </row>
    <row r="95" spans="1:3" x14ac:dyDescent="0.25">
      <c r="A95" s="13" t="s">
        <v>150</v>
      </c>
      <c r="B95" s="13">
        <f>SUM(B71:B94)</f>
        <v>44</v>
      </c>
      <c r="C95" s="13">
        <f>SUM(C71:C94)</f>
        <v>21</v>
      </c>
    </row>
    <row r="97" spans="1:3" x14ac:dyDescent="0.25">
      <c r="A97" s="9" t="s">
        <v>176</v>
      </c>
    </row>
    <row r="98" spans="1:3" ht="25.5" x14ac:dyDescent="0.25">
      <c r="A98" s="10" t="s">
        <v>141</v>
      </c>
      <c r="B98" s="10" t="s">
        <v>142</v>
      </c>
      <c r="C98" s="10" t="s">
        <v>143</v>
      </c>
    </row>
    <row r="99" spans="1:3" x14ac:dyDescent="0.25">
      <c r="A99" s="11" t="s">
        <v>177</v>
      </c>
      <c r="B99" s="11">
        <f>(COUNTIFS(Sheet1!$AT$2:$AT$200,"Pre-primary")-COUNTIFS(Sheet1!$AT$2:$AT$200,"Pre-primary",Sheet1!$BV$2:$BV$200,"*RETRACTED*"))</f>
        <v>1</v>
      </c>
      <c r="C99" s="11">
        <f>COUNTIFS(Sheet1!$AT$2:$AT$200,"Pre-primary",Sheet1!$BS$2:$BS$200,"Core")</f>
        <v>0</v>
      </c>
    </row>
    <row r="100" spans="1:3" x14ac:dyDescent="0.25">
      <c r="A100" s="11" t="s">
        <v>115</v>
      </c>
      <c r="B100" s="11">
        <f>(COUNTIFS(Sheet1!$AT$2:$AT$200,"Primary")-COUNTIFS(Sheet1!$AT$2:$AT$200,"Primary",Sheet1!$BV$2:$BV$200,"*RETRACTED*"))</f>
        <v>4</v>
      </c>
      <c r="C100" s="11">
        <f>COUNTIFS(Sheet1!$AT$2:$AT$200,"Primary",Sheet1!$BS$2:$BS$200,"Core")</f>
        <v>4</v>
      </c>
    </row>
    <row r="101" spans="1:3" x14ac:dyDescent="0.25">
      <c r="A101" s="11" t="s">
        <v>116</v>
      </c>
      <c r="B101" s="11">
        <f>(COUNTIFS(Sheet1!$AT$2:$AT$200,"Lower secondary")-COUNTIFS(Sheet1!$AT$2:$AT$200,"Lower secondary",Sheet1!$BV$2:$BV$200,"*RETRACTED*"))</f>
        <v>5</v>
      </c>
      <c r="C101" s="11">
        <f>COUNTIFS(Sheet1!$AT$2:$AT$200,"Lower secondary",Sheet1!$BS$2:$BS$200,"Core")</f>
        <v>4</v>
      </c>
    </row>
    <row r="102" spans="1:3" x14ac:dyDescent="0.25">
      <c r="A102" s="11" t="s">
        <v>117</v>
      </c>
      <c r="B102" s="11">
        <f>(COUNTIFS(Sheet1!$AT$2:$AT$200,"Upper secondary")-COUNTIFS(Sheet1!$AT$2:$AT$200,"Upper secondary",Sheet1!$BV$2:$BV$200,"*RETRACTED*"))</f>
        <v>3</v>
      </c>
      <c r="C102" s="11">
        <f>COUNTIFS(Sheet1!$AT$2:$AT$200,"Upper secondary",Sheet1!$BS$2:$BS$200,"Core")</f>
        <v>2</v>
      </c>
    </row>
    <row r="103" spans="1:3" x14ac:dyDescent="0.25">
      <c r="A103" s="11" t="s">
        <v>118</v>
      </c>
      <c r="B103" s="11">
        <f>(COUNTIFS(Sheet1!$AT$2:$AT$200,"Secondary (unspecified)")-COUNTIFS(Sheet1!$AT$2:$AT$200,"Secondary (unspecified)",Sheet1!$BV$2:$BV$200,"*RETRACTED*"))</f>
        <v>3</v>
      </c>
      <c r="C103" s="11">
        <f>COUNTIFS(Sheet1!$AT$2:$AT$200,"Secondary (unspecified)",Sheet1!$BS$2:$BS$200,"Core")</f>
        <v>3</v>
      </c>
    </row>
    <row r="104" spans="1:3" x14ac:dyDescent="0.25">
      <c r="A104" s="11" t="s">
        <v>119</v>
      </c>
      <c r="B104" s="11">
        <f>(COUNTIFS(Sheet1!$AT$2:$AT$200,"Mixed K-12")-COUNTIFS(Sheet1!$AT$2:$AT$200,"Mixed K-12",Sheet1!$BV$2:$BV$200,"*RETRACTED*"))</f>
        <v>4</v>
      </c>
      <c r="C104" s="11">
        <f>COUNTIFS(Sheet1!$AT$2:$AT$200,"Mixed K-12",Sheet1!$BS$2:$BS$200,"Core")</f>
        <v>4</v>
      </c>
    </row>
    <row r="105" spans="1:3" x14ac:dyDescent="0.25">
      <c r="A105" s="11" t="s">
        <v>120</v>
      </c>
      <c r="B105" s="11">
        <f>(COUNTIFS(Sheet1!$AT$2:$AT$200,"Mixed (school-age + adults)")-COUNTIFS(Sheet1!$AT$2:$AT$200,"Mixed (school-age + adults)",Sheet1!$BV$2:$BV$200,"*RETRACTED*"))</f>
        <v>1</v>
      </c>
      <c r="C105" s="11">
        <f>COUNTIFS(Sheet1!$AT$2:$AT$200,"Mixed (school-age + adults)",Sheet1!$BS$2:$BS$200,"Core")</f>
        <v>1</v>
      </c>
    </row>
    <row r="106" spans="1:3" x14ac:dyDescent="0.25">
      <c r="A106" s="11" t="s">
        <v>121</v>
      </c>
      <c r="B106" s="11">
        <f>(COUNTIFS(Sheet1!$AT$2:$AT$200,"Mixed (secondary + post-secondary)")-COUNTIFS(Sheet1!$AT$2:$AT$200,"Mixed (secondary + post-secondary)",Sheet1!$BV$2:$BV$200,"*RETRACTED*"))</f>
        <v>4</v>
      </c>
      <c r="C106" s="11">
        <f>COUNTIFS(Sheet1!$AT$2:$AT$200,"Mixed (secondary + post-secondary)",Sheet1!$BS$2:$BS$200,"Core")</f>
        <v>2</v>
      </c>
    </row>
    <row r="107" spans="1:3" x14ac:dyDescent="0.25">
      <c r="A107" s="11" t="s">
        <v>178</v>
      </c>
      <c r="B107" s="11">
        <f>(COUNTIFS(Sheet1!$AT$2:$AT$200,"Higher education")-COUNTIFS(Sheet1!$AT$2:$AT$200,"Higher education",Sheet1!$BV$2:$BV$200,"*RETRACTED*"))</f>
        <v>10</v>
      </c>
      <c r="C107" s="11">
        <f>COUNTIFS(Sheet1!$AT$2:$AT$200,"Higher education",Sheet1!$BS$2:$BS$200,"Core")</f>
        <v>0</v>
      </c>
    </row>
    <row r="108" spans="1:3" x14ac:dyDescent="0.25">
      <c r="A108" s="11" t="s">
        <v>179</v>
      </c>
      <c r="B108" s="11">
        <f>(COUNTIFS(Sheet1!$AT$2:$AT$200,"Informal / general public")-COUNTIFS(Sheet1!$AT$2:$AT$200,"Informal / general public",Sheet1!$BV$2:$BV$200,"*RETRACTED*"))</f>
        <v>3</v>
      </c>
      <c r="C108" s="11">
        <f>COUNTIFS(Sheet1!$AT$2:$AT$200,"Informal / general public",Sheet1!$BS$2:$BS$200,"Core")</f>
        <v>0</v>
      </c>
    </row>
    <row r="109" spans="1:3" x14ac:dyDescent="0.25">
      <c r="A109" s="11" t="s">
        <v>122</v>
      </c>
      <c r="B109" s="11">
        <f>(COUNTIFS(Sheet1!$AT$2:$AT$200,"Not reported")-COUNTIFS(Sheet1!$AT$2:$AT$200,"Not reported",Sheet1!$BV$2:$BV$200,"*RETRACTED*"))</f>
        <v>6</v>
      </c>
      <c r="C109" s="11">
        <f>COUNTIFS(Sheet1!$AT$2:$AT$200,"Not reported",Sheet1!$BS$2:$BS$200,"Core")</f>
        <v>1</v>
      </c>
    </row>
    <row r="110" spans="1:3" x14ac:dyDescent="0.25">
      <c r="A110" s="13" t="s">
        <v>150</v>
      </c>
      <c r="B110" s="13">
        <f>SUM(B99:B109)</f>
        <v>44</v>
      </c>
      <c r="C110" s="13">
        <f>SUM(C99:C109)</f>
        <v>21</v>
      </c>
    </row>
    <row r="112" spans="1:3" x14ac:dyDescent="0.25">
      <c r="A112" s="9" t="s">
        <v>180</v>
      </c>
    </row>
    <row r="113" spans="1:3" ht="25.5" x14ac:dyDescent="0.25">
      <c r="A113" s="10" t="s">
        <v>141</v>
      </c>
      <c r="B113" s="10" t="s">
        <v>142</v>
      </c>
      <c r="C113" s="10" t="s">
        <v>143</v>
      </c>
    </row>
    <row r="114" spans="1:3" x14ac:dyDescent="0.25">
      <c r="A114" s="11" t="s">
        <v>138</v>
      </c>
      <c r="B114" s="11">
        <f>(COUNTIFS(Sheet1!$AV$2:$AV$200,"Natural sciences, mathematics &amp; statistics")-COUNTIFS(Sheet1!$AV$2:$AV$200,"Natural sciences, mathematics &amp; statistics",Sheet1!$BV$2:$BV$200,"*RETRACTED*"))</f>
        <v>19</v>
      </c>
      <c r="C114" s="11">
        <f>COUNTIFS(Sheet1!$AV$2:$AV$200,"Natural sciences, mathematics &amp; statistics",Sheet1!$BS$2:$BS$200,"Core")</f>
        <v>10</v>
      </c>
    </row>
    <row r="115" spans="1:3" x14ac:dyDescent="0.25">
      <c r="A115" s="11" t="s">
        <v>132</v>
      </c>
      <c r="B115" s="11">
        <f>(COUNTIFS(Sheet1!$AV$2:$AV$200,"Arts &amp; humanities (history/heritage)")-COUNTIFS(Sheet1!$AV$2:$AV$200,"Arts &amp; humanities (history/heritage)",Sheet1!$BV$2:$BV$200,"*RETRACTED*"))</f>
        <v>6</v>
      </c>
      <c r="C115" s="11">
        <f>COUNTIFS(Sheet1!$AV$2:$AV$200,"Arts &amp; humanities (history/heritage)",Sheet1!$BS$2:$BS$200,"Core")</f>
        <v>2</v>
      </c>
    </row>
    <row r="116" spans="1:3" x14ac:dyDescent="0.25">
      <c r="A116" s="11" t="s">
        <v>135</v>
      </c>
      <c r="B116" s="11">
        <f>(COUNTIFS(Sheet1!$AV$2:$AV$200,"Generic / multi-subject")-COUNTIFS(Sheet1!$AV$2:$AV$200,"Generic / multi-subject",Sheet1!$BV$2:$BV$200,"*RETRACTED*"))</f>
        <v>6</v>
      </c>
      <c r="C116" s="11">
        <f>COUNTIFS(Sheet1!$AV$2:$AV$200,"Generic / multi-subject",Sheet1!$BS$2:$BS$200,"Core")</f>
        <v>3</v>
      </c>
    </row>
    <row r="117" spans="1:3" x14ac:dyDescent="0.25">
      <c r="A117" s="11" t="s">
        <v>137</v>
      </c>
      <c r="B117" s="11">
        <f>(COUNTIFS(Sheet1!$AV$2:$AV$200,"ICT")-COUNTIFS(Sheet1!$AV$2:$AV$200,"ICT",Sheet1!$BV$2:$BV$200,"*RETRACTED*"))</f>
        <v>4</v>
      </c>
      <c r="C117" s="11">
        <f>COUNTIFS(Sheet1!$AV$2:$AV$200,"ICT",Sheet1!$BS$2:$BS$200,"Core")</f>
        <v>2</v>
      </c>
    </row>
    <row r="118" spans="1:3" x14ac:dyDescent="0.25">
      <c r="A118" s="11" t="s">
        <v>133</v>
      </c>
      <c r="B118" s="11">
        <f>(COUNTIFS(Sheet1!$AV$2:$AV$200,"Arts &amp; humanities (languages)")-COUNTIFS(Sheet1!$AV$2:$AV$200,"Arts &amp; humanities (languages)",Sheet1!$BV$2:$BV$200,"*RETRACTED*"))</f>
        <v>3</v>
      </c>
      <c r="C118" s="11">
        <f>COUNTIFS(Sheet1!$AV$2:$AV$200,"Arts &amp; humanities (languages)",Sheet1!$BS$2:$BS$200,"Core")</f>
        <v>1</v>
      </c>
    </row>
    <row r="119" spans="1:3" x14ac:dyDescent="0.25">
      <c r="A119" s="11" t="s">
        <v>181</v>
      </c>
      <c r="B119" s="11">
        <f>(COUNTIFS(Sheet1!$AV$2:$AV$200,"Agriculture")-COUNTIFS(Sheet1!$AV$2:$AV$200,"Agriculture",Sheet1!$BV$2:$BV$200,"*RETRACTED*"))</f>
        <v>1</v>
      </c>
      <c r="C119" s="11">
        <f>COUNTIFS(Sheet1!$AV$2:$AV$200,"Agriculture",Sheet1!$BS$2:$BS$200,"Core")</f>
        <v>0</v>
      </c>
    </row>
    <row r="120" spans="1:3" x14ac:dyDescent="0.25">
      <c r="A120" s="11" t="s">
        <v>182</v>
      </c>
      <c r="B120" s="11">
        <f>(COUNTIFS(Sheet1!$AV$2:$AV$200,"Arts &amp; humanities (arts)")-COUNTIFS(Sheet1!$AV$2:$AV$200,"Arts &amp; humanities (arts)",Sheet1!$BV$2:$BV$200,"*RETRACTED*"))</f>
        <v>1</v>
      </c>
      <c r="C120" s="11">
        <f>COUNTIFS(Sheet1!$AV$2:$AV$200,"Arts &amp; humanities (arts)",Sheet1!$BS$2:$BS$200,"Core")</f>
        <v>0</v>
      </c>
    </row>
    <row r="121" spans="1:3" x14ac:dyDescent="0.25">
      <c r="A121" s="11" t="s">
        <v>134</v>
      </c>
      <c r="B121" s="11">
        <f>(COUNTIFS(Sheet1!$AV$2:$AV$200,"Arts &amp; humanities (religion)")-COUNTIFS(Sheet1!$AV$2:$AV$200,"Arts &amp; humanities (religion)",Sheet1!$BV$2:$BV$200,"*RETRACTED*"))</f>
        <v>1</v>
      </c>
      <c r="C121" s="11">
        <f>COUNTIFS(Sheet1!$AV$2:$AV$200,"Arts &amp; humanities (religion)",Sheet1!$BS$2:$BS$200,"Core")</f>
        <v>1</v>
      </c>
    </row>
    <row r="122" spans="1:3" x14ac:dyDescent="0.25">
      <c r="A122" s="11" t="s">
        <v>183</v>
      </c>
      <c r="B122" s="11">
        <f>(COUNTIFS(Sheet1!$AV$2:$AV$200,"Engineering, manufacturing &amp; construction")-COUNTIFS(Sheet1!$AV$2:$AV$200,"Engineering, manufacturing &amp; construction",Sheet1!$BV$2:$BV$200,"*RETRACTED*"))</f>
        <v>1</v>
      </c>
      <c r="C122" s="11">
        <f>COUNTIFS(Sheet1!$AV$2:$AV$200,"Engineering, manufacturing &amp; construction",Sheet1!$BS$2:$BS$200,"Core")</f>
        <v>0</v>
      </c>
    </row>
    <row r="123" spans="1:3" x14ac:dyDescent="0.25">
      <c r="A123" s="11" t="s">
        <v>136</v>
      </c>
      <c r="B123" s="11">
        <f>(COUNTIFS(Sheet1!$AV$2:$AV$200,"Generic programmes (literacy)")-COUNTIFS(Sheet1!$AV$2:$AV$200,"Generic programmes (literacy)",Sheet1!$BV$2:$BV$200,"*RETRACTED*"))</f>
        <v>1</v>
      </c>
      <c r="C123" s="11">
        <f>COUNTIFS(Sheet1!$AV$2:$AV$200,"Generic programmes (literacy)",Sheet1!$BS$2:$BS$200,"Core")</f>
        <v>1</v>
      </c>
    </row>
    <row r="124" spans="1:3" x14ac:dyDescent="0.25">
      <c r="A124" s="11" t="s">
        <v>139</v>
      </c>
      <c r="B124" s="11">
        <f>(COUNTIFS(Sheet1!$AV$2:$AV$200,"Social sciences, journalism &amp; information")-COUNTIFS(Sheet1!$AV$2:$AV$200,"Social sciences, journalism &amp; information",Sheet1!$BV$2:$BV$200,"*RETRACTED*"))</f>
        <v>1</v>
      </c>
      <c r="C124" s="11">
        <f>COUNTIFS(Sheet1!$AV$2:$AV$200,"Social sciences, journalism &amp; information",Sheet1!$BS$2:$BS$200,"Core")</f>
        <v>1</v>
      </c>
    </row>
    <row r="125" spans="1:3" x14ac:dyDescent="0.25">
      <c r="A125" s="13" t="s">
        <v>150</v>
      </c>
      <c r="B125" s="13">
        <f>SUM(B114:B124)</f>
        <v>44</v>
      </c>
      <c r="C125" s="13">
        <f>SUM(C114:C124)</f>
        <v>21</v>
      </c>
    </row>
    <row r="127" spans="1:3" x14ac:dyDescent="0.25">
      <c r="A127" s="9" t="s">
        <v>184</v>
      </c>
    </row>
    <row r="128" spans="1:3" ht="25.5" x14ac:dyDescent="0.25">
      <c r="A128" s="10" t="s">
        <v>141</v>
      </c>
      <c r="B128" s="10" t="s">
        <v>142</v>
      </c>
      <c r="C128" s="10" t="s">
        <v>143</v>
      </c>
    </row>
    <row r="129" spans="1:3" x14ac:dyDescent="0.25">
      <c r="A129" s="11" t="s">
        <v>125</v>
      </c>
      <c r="B129" s="11">
        <f>(COUNTIFS(Sheet1!$AY$2:$AY$200,"HMD (immersive)")-COUNTIFS(Sheet1!$AY$2:$AY$200,"HMD (immersive)",Sheet1!$BV$2:$BV$200,"*RETRACTED*"))</f>
        <v>24</v>
      </c>
      <c r="C129" s="11">
        <f>COUNTIFS(Sheet1!$AY$2:$AY$200,"HMD (immersive)",Sheet1!$BS$2:$BS$200,"Core")</f>
        <v>10</v>
      </c>
    </row>
    <row r="130" spans="1:3" x14ac:dyDescent="0.25">
      <c r="A130" s="11" t="s">
        <v>126</v>
      </c>
      <c r="B130" s="11">
        <f>(COUNTIFS(Sheet1!$AY$2:$AY$200,"Handheld (mobile/tablet)")-COUNTIFS(Sheet1!$AY$2:$AY$200,"Handheld (mobile/tablet)",Sheet1!$BV$2:$BV$200,"*RETRACTED*"))</f>
        <v>4</v>
      </c>
      <c r="C130" s="11">
        <f>COUNTIFS(Sheet1!$AY$2:$AY$200,"Handheld (mobile/tablet)",Sheet1!$BS$2:$BS$200,"Core")</f>
        <v>2</v>
      </c>
    </row>
    <row r="131" spans="1:3" x14ac:dyDescent="0.25">
      <c r="A131" s="11" t="s">
        <v>127</v>
      </c>
      <c r="B131" s="11">
        <f>(COUNTIFS(Sheet1!$AY$2:$AY$200,"Desktop")-COUNTIFS(Sheet1!$AY$2:$AY$200,"Desktop",Sheet1!$BV$2:$BV$200,"*RETRACTED*"))</f>
        <v>7</v>
      </c>
      <c r="C131" s="11">
        <f>COUNTIFS(Sheet1!$AY$2:$AY$200,"Desktop",Sheet1!$BS$2:$BS$200,"Core")</f>
        <v>4</v>
      </c>
    </row>
    <row r="132" spans="1:3" x14ac:dyDescent="0.25">
      <c r="A132" s="11" t="s">
        <v>128</v>
      </c>
      <c r="B132" s="11">
        <f>(COUNTIFS(Sheet1!$AY$2:$AY$200,"CAVE / projection")-COUNTIFS(Sheet1!$AY$2:$AY$200,"CAVE / projection",Sheet1!$BV$2:$BV$200,"*RETRACTED*"))</f>
        <v>3</v>
      </c>
      <c r="C132" s="11">
        <f>COUNTIFS(Sheet1!$AY$2:$AY$200,"CAVE / projection",Sheet1!$BS$2:$BS$200,"Core")</f>
        <v>2</v>
      </c>
    </row>
    <row r="133" spans="1:3" x14ac:dyDescent="0.25">
      <c r="A133" s="11" t="s">
        <v>129</v>
      </c>
      <c r="B133" s="11">
        <f>(COUNTIFS(Sheet1!$AY$2:$AY$200,"Web-based")-COUNTIFS(Sheet1!$AY$2:$AY$200,"Web-based",Sheet1!$BV$2:$BV$200,"*RETRACTED*"))</f>
        <v>2</v>
      </c>
      <c r="C133" s="11">
        <f>COUNTIFS(Sheet1!$AY$2:$AY$200,"Web-based",Sheet1!$BS$2:$BS$200,"Core")</f>
        <v>0</v>
      </c>
    </row>
    <row r="134" spans="1:3" x14ac:dyDescent="0.25">
      <c r="A134" s="11" t="s">
        <v>185</v>
      </c>
      <c r="B134" s="11">
        <f>(COUNTIFS(Sheet1!$AY$2:$AY$200,"None (mock-up)")-COUNTIFS(Sheet1!$AY$2:$AY$200,"None (mock-up)",Sheet1!$BV$2:$BV$200,"*RETRACTED*"))</f>
        <v>1</v>
      </c>
      <c r="C134" s="11">
        <f>COUNTIFS(Sheet1!$AY$2:$AY$200,"None (mock-up)",Sheet1!$BS$2:$BS$200,"Core")</f>
        <v>0</v>
      </c>
    </row>
    <row r="135" spans="1:3" x14ac:dyDescent="0.25">
      <c r="A135" s="11" t="s">
        <v>122</v>
      </c>
      <c r="B135" s="11">
        <f>(COUNTIFS(Sheet1!$AY$2:$AY$200,"Not reported")-COUNTIFS(Sheet1!$AY$2:$AY$200,"Not reported",Sheet1!$BV$2:$BV$200,"*RETRACTED*"))</f>
        <v>3</v>
      </c>
      <c r="C135" s="11">
        <f>COUNTIFS(Sheet1!$AY$2:$AY$200,"Not reported",Sheet1!$BS$2:$BS$200,"Core")</f>
        <v>3</v>
      </c>
    </row>
    <row r="136" spans="1:3" x14ac:dyDescent="0.25">
      <c r="A136" s="13" t="s">
        <v>150</v>
      </c>
      <c r="B136" s="13">
        <f>SUM(B129:B135)</f>
        <v>44</v>
      </c>
      <c r="C136" s="13">
        <f>SUM(C129:C135)</f>
        <v>21</v>
      </c>
    </row>
    <row r="138" spans="1:3" x14ac:dyDescent="0.25">
      <c r="A138" s="9" t="s">
        <v>186</v>
      </c>
    </row>
    <row r="139" spans="1:3" ht="25.5" x14ac:dyDescent="0.25">
      <c r="A139" s="10" t="s">
        <v>141</v>
      </c>
      <c r="B139" s="10" t="s">
        <v>142</v>
      </c>
      <c r="C139" s="10" t="s">
        <v>143</v>
      </c>
    </row>
    <row r="140" spans="1:3" x14ac:dyDescent="0.25">
      <c r="A140" s="11" t="s">
        <v>187</v>
      </c>
      <c r="B140" s="11">
        <f>(COUNTIFS(Sheet1!$AX$2:$AX$200,"VR")-COUNTIFS(Sheet1!$AX$2:$AX$200,"VR",Sheet1!$BV$2:$BV$200,"*RETRACTED*"))</f>
        <v>26</v>
      </c>
      <c r="C140" s="11">
        <f>COUNTIFS(Sheet1!$AX$2:$AX$200,"VR",Sheet1!$BS$2:$BS$200,"Core")</f>
        <v>13</v>
      </c>
    </row>
    <row r="141" spans="1:3" x14ac:dyDescent="0.25">
      <c r="A141" s="11" t="s">
        <v>188</v>
      </c>
      <c r="B141" s="11">
        <f>(COUNTIFS(Sheet1!$AX$2:$AX$200,"AR")-COUNTIFS(Sheet1!$AX$2:$AX$200,"AR",Sheet1!$BV$2:$BV$200,"*RETRACTED*"))</f>
        <v>7</v>
      </c>
      <c r="C141" s="11">
        <f>COUNTIFS(Sheet1!$AX$2:$AX$200,"AR",Sheet1!$BS$2:$BS$200,"Core")</f>
        <v>3</v>
      </c>
    </row>
    <row r="142" spans="1:3" x14ac:dyDescent="0.25">
      <c r="A142" s="11" t="s">
        <v>189</v>
      </c>
      <c r="B142" s="11">
        <f>(COUNTIFS(Sheet1!$AX$2:$AX$200,"MR")-COUNTIFS(Sheet1!$AX$2:$AX$200,"MR",Sheet1!$BV$2:$BV$200,"*RETRACTED*"))</f>
        <v>3</v>
      </c>
      <c r="C142" s="11">
        <f>COUNTIFS(Sheet1!$AX$2:$AX$200,"MR",Sheet1!$BS$2:$BS$200,"Core")</f>
        <v>1</v>
      </c>
    </row>
    <row r="143" spans="1:3" x14ac:dyDescent="0.25">
      <c r="A143" s="11" t="s">
        <v>190</v>
      </c>
      <c r="B143" s="11">
        <f>(COUNTIFS(Sheet1!$AX$2:$AX$200,"VR (360°)")-COUNTIFS(Sheet1!$AX$2:$AX$200,"VR (360°)",Sheet1!$BV$2:$BV$200,"*RETRACTED*"))</f>
        <v>2</v>
      </c>
      <c r="C143" s="11">
        <f>COUNTIFS(Sheet1!$AX$2:$AX$200,"VR (360°)",Sheet1!$BS$2:$BS$200,"Core")</f>
        <v>1</v>
      </c>
    </row>
    <row r="144" spans="1:3" x14ac:dyDescent="0.25">
      <c r="A144" s="11" t="s">
        <v>191</v>
      </c>
      <c r="B144" s="11">
        <f>(COUNTIFS(Sheet1!$AX$2:$AX$200,"AR/3D (EON-XR)")-COUNTIFS(Sheet1!$AX$2:$AX$200,"AR/3D (EON-XR)",Sheet1!$BV$2:$BV$200,"*RETRACTED*"))</f>
        <v>1</v>
      </c>
      <c r="C144" s="11">
        <f>COUNTIFS(Sheet1!$AX$2:$AX$200,"AR/3D (EON-XR)",Sheet1!$BS$2:$BS$200,"Core")</f>
        <v>1</v>
      </c>
    </row>
    <row r="145" spans="1:3" x14ac:dyDescent="0.25">
      <c r="A145" s="11" t="s">
        <v>192</v>
      </c>
      <c r="B145" s="11">
        <f>(COUNTIFS(Sheet1!$AX$2:$AX$200,"Desktop 3D + gesture")-COUNTIFS(Sheet1!$AX$2:$AX$200,"Desktop 3D + gesture",Sheet1!$BV$2:$BV$200,"*RETRACTED*"))</f>
        <v>1</v>
      </c>
      <c r="C145" s="11">
        <f>COUNTIFS(Sheet1!$AX$2:$AX$200,"Desktop 3D + gesture",Sheet1!$BS$2:$BS$200,"Core")</f>
        <v>1</v>
      </c>
    </row>
    <row r="146" spans="1:3" x14ac:dyDescent="0.25">
      <c r="A146" s="11" t="s">
        <v>193</v>
      </c>
      <c r="B146" s="11">
        <f>(COUNTIFS(Sheet1!$AX$2:$AX$200,"Desktop 3D virtual world")-COUNTIFS(Sheet1!$AX$2:$AX$200,"Desktop 3D virtual world",Sheet1!$BV$2:$BV$200,"*RETRACTED*"))</f>
        <v>1</v>
      </c>
      <c r="C146" s="11">
        <f>COUNTIFS(Sheet1!$AX$2:$AX$200,"Desktop 3D virtual world",Sheet1!$BS$2:$BS$200,"Core")</f>
        <v>0</v>
      </c>
    </row>
    <row r="147" spans="1:3" x14ac:dyDescent="0.25">
      <c r="A147" s="11" t="s">
        <v>194</v>
      </c>
      <c r="B147" s="11">
        <f>(COUNTIFS(Sheet1!$AX$2:$AX$200,"Low-fidelity VR mock-up")-COUNTIFS(Sheet1!$AX$2:$AX$200,"Low-fidelity VR mock-up",Sheet1!$BV$2:$BV$200,"*RETRACTED*"))</f>
        <v>1</v>
      </c>
      <c r="C147" s="11">
        <f>COUNTIFS(Sheet1!$AX$2:$AX$200,"Low-fidelity VR mock-up",Sheet1!$BS$2:$BS$200,"Core")</f>
        <v>0</v>
      </c>
    </row>
    <row r="148" spans="1:3" x14ac:dyDescent="0.25">
      <c r="A148" s="11" t="s">
        <v>195</v>
      </c>
      <c r="B148" s="11">
        <f>(COUNTIFS(Sheet1!$AX$2:$AX$200,"VR (metaverse)")-COUNTIFS(Sheet1!$AX$2:$AX$200,"VR (metaverse)",Sheet1!$BV$2:$BV$200,"*RETRACTED*"))</f>
        <v>1</v>
      </c>
      <c r="C148" s="11">
        <f>COUNTIFS(Sheet1!$AX$2:$AX$200,"VR (metaverse)",Sheet1!$BS$2:$BS$200,"Core")</f>
        <v>0</v>
      </c>
    </row>
    <row r="149" spans="1:3" x14ac:dyDescent="0.25">
      <c r="A149" s="11" t="s">
        <v>196</v>
      </c>
      <c r="B149" s="11">
        <f>(COUNTIFS(Sheet1!$AX$2:$AX$200,"VR (social VR)")-COUNTIFS(Sheet1!$AX$2:$AX$200,"VR (social VR)",Sheet1!$BV$2:$BV$200,"*RETRACTED*"))</f>
        <v>1</v>
      </c>
      <c r="C149" s="11">
        <f>COUNTIFS(Sheet1!$AX$2:$AX$200,"VR (social VR)",Sheet1!$BS$2:$BS$200,"Core")</f>
        <v>1</v>
      </c>
    </row>
    <row r="150" spans="1:3" x14ac:dyDescent="0.25">
      <c r="A150" s="13" t="s">
        <v>150</v>
      </c>
      <c r="B150" s="13">
        <f>SUM(B140:B149)</f>
        <v>44</v>
      </c>
      <c r="C150" s="13">
        <f>SUM(C140:C149)</f>
        <v>21</v>
      </c>
    </row>
    <row r="152" spans="1:3" x14ac:dyDescent="0.25">
      <c r="A152" s="9" t="s">
        <v>197</v>
      </c>
    </row>
    <row r="153" spans="1:3" ht="25.5" x14ac:dyDescent="0.25">
      <c r="A153" s="10" t="s">
        <v>141</v>
      </c>
      <c r="B153" s="10" t="s">
        <v>142</v>
      </c>
      <c r="C153" s="10" t="s">
        <v>143</v>
      </c>
    </row>
    <row r="154" spans="1:3" x14ac:dyDescent="0.25">
      <c r="A154" s="11" t="s">
        <v>198</v>
      </c>
      <c r="B154" s="11">
        <f>(COUNTIFS(Sheet1!$AU$2:$AU$200,"SEN*")-COUNTIFS(Sheet1!$AU$2:$AU$200,"SEN*",Sheet1!$BV$2:$BV$200,"*RETRACTED*"))</f>
        <v>1</v>
      </c>
      <c r="C154" s="11">
        <f>COUNTIFS(Sheet1!$AU$2:$AU$200,"SEN*",Sheet1!$BS$2:$BS$200,"Core")</f>
        <v>1</v>
      </c>
    </row>
    <row r="155" spans="1:3" x14ac:dyDescent="0.25">
      <c r="A155" s="11" t="s">
        <v>199</v>
      </c>
      <c r="B155" s="11">
        <f>(COUNTIFS(Sheet1!$AU$2:$AU$200,"*ADHD*")-COUNTIFS(Sheet1!$AU$2:$AU$200,"*ADHD*",Sheet1!$BV$2:$BV$200,"*RETRACTED*"))</f>
        <v>1</v>
      </c>
      <c r="C155" s="11">
        <f>COUNTIFS(Sheet1!$AU$2:$AU$200,"*ADHD*",Sheet1!$BS$2:$BS$200,"Core")</f>
        <v>1</v>
      </c>
    </row>
    <row r="156" spans="1:3" x14ac:dyDescent="0.25">
      <c r="A156" s="11" t="s">
        <v>200</v>
      </c>
      <c r="B156" s="11">
        <f>(COUNTIFS(Sheet1!$AU$2:$AU$200,"*ASD*")-COUNTIFS(Sheet1!$AU$2:$AU$200,"*ASD*",Sheet1!$BV$2:$BV$200,"*RETRACTED*"))</f>
        <v>1</v>
      </c>
      <c r="C156" s="11">
        <f>COUNTIFS(Sheet1!$AU$2:$AU$200,"*ASD*",Sheet1!$BS$2:$BS$200,"Core")</f>
        <v>1</v>
      </c>
    </row>
    <row r="157" spans="1:3" x14ac:dyDescent="0.25">
      <c r="A157" s="13" t="s">
        <v>150</v>
      </c>
      <c r="B157" s="13">
        <f>SUM(B154:B156)</f>
        <v>3</v>
      </c>
      <c r="C157" s="13">
        <f>SUM(C154:C156)</f>
        <v>3</v>
      </c>
    </row>
    <row r="159" spans="1:3" x14ac:dyDescent="0.25">
      <c r="A159" s="9" t="s">
        <v>201</v>
      </c>
    </row>
    <row r="160" spans="1:3" ht="25.5" x14ac:dyDescent="0.25">
      <c r="A160" s="10" t="s">
        <v>202</v>
      </c>
      <c r="B160" s="10" t="s">
        <v>142</v>
      </c>
      <c r="C160" s="10" t="s">
        <v>143</v>
      </c>
    </row>
    <row r="161" spans="1:3" x14ac:dyDescent="0.25">
      <c r="A161" s="11" t="s">
        <v>203</v>
      </c>
      <c r="B161" s="11">
        <f>COUNTIFS(Sheet1!$G$2:$G$200,2015)-COUNTIFS(Sheet1!$G$2:$G$200,2015,Sheet1!$BV$2:$BV$200,"*RETRACTED*")</f>
        <v>1</v>
      </c>
      <c r="C161" s="11">
        <f>COUNTIFS(Sheet1!$G$2:$G$200,2015,Sheet1!$BS$2:$BS$200,"Core")</f>
        <v>1</v>
      </c>
    </row>
    <row r="162" spans="1:3" x14ac:dyDescent="0.25">
      <c r="A162" s="11" t="s">
        <v>204</v>
      </c>
      <c r="B162" s="11">
        <f>COUNTIFS(Sheet1!$G$2:$G$200,2016)-COUNTIFS(Sheet1!$G$2:$G$200,2016,Sheet1!$BV$2:$BV$200,"*RETRACTED*")</f>
        <v>0</v>
      </c>
      <c r="C162" s="11">
        <f>COUNTIFS(Sheet1!$G$2:$G$200,2016,Sheet1!$BS$2:$BS$200,"Core")</f>
        <v>0</v>
      </c>
    </row>
    <row r="163" spans="1:3" x14ac:dyDescent="0.25">
      <c r="A163" s="11" t="s">
        <v>205</v>
      </c>
      <c r="B163" s="11">
        <f>COUNTIFS(Sheet1!$G$2:$G$200,2017)-COUNTIFS(Sheet1!$G$2:$G$200,2017,Sheet1!$BV$2:$BV$200,"*RETRACTED*")</f>
        <v>2</v>
      </c>
      <c r="C163" s="11">
        <f>COUNTIFS(Sheet1!$G$2:$G$200,2017,Sheet1!$BS$2:$BS$200,"Core")</f>
        <v>1</v>
      </c>
    </row>
    <row r="164" spans="1:3" x14ac:dyDescent="0.25">
      <c r="A164" s="11" t="s">
        <v>206</v>
      </c>
      <c r="B164" s="11">
        <f>COUNTIFS(Sheet1!$G$2:$G$200,2018)-COUNTIFS(Sheet1!$G$2:$G$200,2018,Sheet1!$BV$2:$BV$200,"*RETRACTED*")</f>
        <v>2</v>
      </c>
      <c r="C164" s="11">
        <f>COUNTIFS(Sheet1!$G$2:$G$200,2018,Sheet1!$BS$2:$BS$200,"Core")</f>
        <v>2</v>
      </c>
    </row>
    <row r="165" spans="1:3" x14ac:dyDescent="0.25">
      <c r="A165" s="11" t="s">
        <v>207</v>
      </c>
      <c r="B165" s="11">
        <f>COUNTIFS(Sheet1!$G$2:$G$200,2019)-COUNTIFS(Sheet1!$G$2:$G$200,2019,Sheet1!$BV$2:$BV$200,"*RETRACTED*")</f>
        <v>5</v>
      </c>
      <c r="C165" s="11">
        <f>COUNTIFS(Sheet1!$G$2:$G$200,2019,Sheet1!$BS$2:$BS$200,"Core")</f>
        <v>1</v>
      </c>
    </row>
    <row r="166" spans="1:3" x14ac:dyDescent="0.25">
      <c r="A166" s="11" t="s">
        <v>208</v>
      </c>
      <c r="B166" s="11">
        <f>COUNTIFS(Sheet1!$G$2:$G$200,2020)-COUNTIFS(Sheet1!$G$2:$G$200,2020,Sheet1!$BV$2:$BV$200,"*RETRACTED*")</f>
        <v>4</v>
      </c>
      <c r="C166" s="11">
        <f>COUNTIFS(Sheet1!$G$2:$G$200,2020,Sheet1!$BS$2:$BS$200,"Core")</f>
        <v>2</v>
      </c>
    </row>
    <row r="167" spans="1:3" x14ac:dyDescent="0.25">
      <c r="A167" s="11" t="s">
        <v>209</v>
      </c>
      <c r="B167" s="11">
        <f>COUNTIFS(Sheet1!$G$2:$G$200,2021)-COUNTIFS(Sheet1!$G$2:$G$200,2021,Sheet1!$BV$2:$BV$200,"*RETRACTED*")</f>
        <v>5</v>
      </c>
      <c r="C167" s="11">
        <f>COUNTIFS(Sheet1!$G$2:$G$200,2021,Sheet1!$BS$2:$BS$200,"Core")</f>
        <v>2</v>
      </c>
    </row>
    <row r="168" spans="1:3" x14ac:dyDescent="0.25">
      <c r="A168" s="11" t="s">
        <v>210</v>
      </c>
      <c r="B168" s="11">
        <f>COUNTIFS(Sheet1!$G$2:$G$200,2022)-COUNTIFS(Sheet1!$G$2:$G$200,2022,Sheet1!$BV$2:$BV$200,"*RETRACTED*")</f>
        <v>6</v>
      </c>
      <c r="C168" s="11">
        <f>COUNTIFS(Sheet1!$G$2:$G$200,2022,Sheet1!$BS$2:$BS$200,"Core")</f>
        <v>2</v>
      </c>
    </row>
    <row r="169" spans="1:3" x14ac:dyDescent="0.25">
      <c r="A169" s="11" t="s">
        <v>211</v>
      </c>
      <c r="B169" s="11">
        <f>COUNTIFS(Sheet1!$G$2:$G$200,2023)-COUNTIFS(Sheet1!$G$2:$G$200,2023,Sheet1!$BV$2:$BV$200,"*RETRACTED*")</f>
        <v>9</v>
      </c>
      <c r="C169" s="11">
        <f>COUNTIFS(Sheet1!$G$2:$G$200,2023,Sheet1!$BS$2:$BS$200,"Core")</f>
        <v>6</v>
      </c>
    </row>
    <row r="170" spans="1:3" x14ac:dyDescent="0.25">
      <c r="A170" s="11" t="s">
        <v>212</v>
      </c>
      <c r="B170" s="11">
        <f>COUNTIFS(Sheet1!$G$2:$G$200,2024)-COUNTIFS(Sheet1!$G$2:$G$200,2024,Sheet1!$BV$2:$BV$200,"*RETRACTED*")</f>
        <v>10</v>
      </c>
      <c r="C170" s="11">
        <f>COUNTIFS(Sheet1!$G$2:$G$200,2024,Sheet1!$BS$2:$BS$200,"Core")</f>
        <v>4</v>
      </c>
    </row>
    <row r="173" spans="1:3" x14ac:dyDescent="0.25">
      <c r="A173" s="9" t="s">
        <v>213</v>
      </c>
    </row>
    <row r="174" spans="1:3" ht="25.5" x14ac:dyDescent="0.25">
      <c r="A174" s="10" t="s">
        <v>141</v>
      </c>
      <c r="B174" s="10" t="s">
        <v>214</v>
      </c>
      <c r="C174" s="10" t="s">
        <v>143</v>
      </c>
    </row>
    <row r="175" spans="1:3" x14ac:dyDescent="0.25">
      <c r="A175" s="11" t="s">
        <v>215</v>
      </c>
      <c r="B175" s="11">
        <f>(COUNTIFS(Sheet1!$BK$2:$BK$200,"Single group, post-test only",Sheet1!$BS$2:$BS$200,"Core")+COUNTIFS(Sheet1!$BK$2:$BK$200,"Single group, post-test only",Sheet1!$BS$2:$BS$200,"Sensitivity"))</f>
        <v>15</v>
      </c>
      <c r="C175" s="11">
        <f>COUNTIFS(Sheet1!$BK$2:$BK$200,"Single group, post-test only",Sheet1!$BS$2:$BS$200,"Core")</f>
        <v>11</v>
      </c>
    </row>
    <row r="176" spans="1:3" x14ac:dyDescent="0.25">
      <c r="A176" s="11" t="s">
        <v>216</v>
      </c>
      <c r="B176" s="11">
        <f>(COUNTIFS(Sheet1!$BK$2:$BK$200,"Single group, pre–post",Sheet1!$BS$2:$BS$200,"Core")+COUNTIFS(Sheet1!$BK$2:$BK$200,"Single group, pre–post",Sheet1!$BS$2:$BS$200,"Sensitivity"))</f>
        <v>1</v>
      </c>
      <c r="C176" s="11">
        <f>COUNTIFS(Sheet1!$BK$2:$BK$200,"Single group, pre–post",Sheet1!$BS$2:$BS$200,"Core")</f>
        <v>1</v>
      </c>
    </row>
    <row r="177" spans="1:3" x14ac:dyDescent="0.25">
      <c r="A177" s="11" t="s">
        <v>217</v>
      </c>
      <c r="B177" s="11">
        <f>(COUNTIFS(Sheet1!$BK$2:$BK$200,"Single group, mixed methods / DBR",Sheet1!$BS$2:$BS$200,"Core")+COUNTIFS(Sheet1!$BK$2:$BK$200,"Single group, mixed methods / DBR",Sheet1!$BS$2:$BS$200,"Sensitivity"))</f>
        <v>5</v>
      </c>
      <c r="C177" s="11">
        <f>COUNTIFS(Sheet1!$BK$2:$BK$200,"Single group, mixed methods / DBR",Sheet1!$BS$2:$BS$200,"Core")</f>
        <v>3</v>
      </c>
    </row>
    <row r="178" spans="1:3" x14ac:dyDescent="0.25">
      <c r="A178" s="11" t="s">
        <v>218</v>
      </c>
      <c r="B178" s="11">
        <f>(COUNTIFS(Sheet1!$BK$2:$BK$200,"Within-subject comparison",Sheet1!$BS$2:$BS$200,"Core")+COUNTIFS(Sheet1!$BK$2:$BK$200,"Within-subject comparison",Sheet1!$BS$2:$BS$200,"Sensitivity"))</f>
        <v>6</v>
      </c>
      <c r="C178" s="11">
        <f>COUNTIFS(Sheet1!$BK$2:$BK$200,"Within-subject comparison",Sheet1!$BS$2:$BS$200,"Core")</f>
        <v>2</v>
      </c>
    </row>
    <row r="179" spans="1:3" x14ac:dyDescent="0.25">
      <c r="A179" s="11" t="s">
        <v>219</v>
      </c>
      <c r="B179" s="11">
        <f>(COUNTIFS(Sheet1!$BK$2:$BK$200,"Between-group comparison (non-randomised)",Sheet1!$BS$2:$BS$200,"Core")+COUNTIFS(Sheet1!$BK$2:$BK$200,"Between-group comparison (non-randomised)",Sheet1!$BS$2:$BS$200,"Sensitivity"))</f>
        <v>2</v>
      </c>
      <c r="C179" s="11">
        <f>COUNTIFS(Sheet1!$BK$2:$BK$200,"Between-group comparison (non-randomised)",Sheet1!$BS$2:$BS$200,"Core")</f>
        <v>2</v>
      </c>
    </row>
    <row r="180" spans="1:3" x14ac:dyDescent="0.25">
      <c r="A180" s="11" t="s">
        <v>220</v>
      </c>
      <c r="B180" s="11">
        <f>(COUNTIFS(Sheet1!$BK$2:$BK$200,"Cross-sectional survey",Sheet1!$BS$2:$BS$200,"Core")+COUNTIFS(Sheet1!$BK$2:$BK$200,"Cross-sectional survey",Sheet1!$BS$2:$BS$200,"Sensitivity"))</f>
        <v>1</v>
      </c>
      <c r="C180" s="11">
        <f>COUNTIFS(Sheet1!$BK$2:$BK$200,"Cross-sectional survey",Sheet1!$BS$2:$BS$200,"Core")</f>
        <v>1</v>
      </c>
    </row>
    <row r="181" spans="1:3" x14ac:dyDescent="0.25">
      <c r="A181" s="11" t="s">
        <v>221</v>
      </c>
      <c r="B181" s="11">
        <f>(COUNTIFS(Sheet1!$BK$2:$BK$200,"Qualitative",Sheet1!$BS$2:$BS$200,"Core")+COUNTIFS(Sheet1!$BK$2:$BK$200,"Qualitative",Sheet1!$BS$2:$BS$200,"Sensitivity"))</f>
        <v>2</v>
      </c>
      <c r="C181" s="11">
        <f>COUNTIFS(Sheet1!$BK$2:$BK$200,"Qualitative",Sheet1!$BS$2:$BS$200,"Core")</f>
        <v>1</v>
      </c>
    </row>
    <row r="182" spans="1:3" x14ac:dyDescent="0.25">
      <c r="A182" s="13" t="s">
        <v>150</v>
      </c>
      <c r="B182" s="13">
        <f>SUM(B175:B181)</f>
        <v>32</v>
      </c>
      <c r="C182" s="13">
        <f>SUM(C175:C181)</f>
        <v>21</v>
      </c>
    </row>
    <row r="184" spans="1:3" x14ac:dyDescent="0.25">
      <c r="A184" s="9" t="s">
        <v>222</v>
      </c>
    </row>
    <row r="185" spans="1:3" ht="25.5" x14ac:dyDescent="0.25">
      <c r="A185" s="10" t="s">
        <v>141</v>
      </c>
      <c r="B185" s="10" t="s">
        <v>214</v>
      </c>
      <c r="C185" s="10" t="s">
        <v>143</v>
      </c>
    </row>
    <row r="186" spans="1:3" x14ac:dyDescent="0.25">
      <c r="A186" s="11" t="s">
        <v>223</v>
      </c>
      <c r="B186" s="11">
        <f>(COUNTIFS(Sheet1!$BA$2:$BA$200,"None",Sheet1!$BS$2:$BS$200,"Core")+COUNTIFS(Sheet1!$BA$2:$BA$200,"None",Sheet1!$BS$2:$BS$200,"Sensitivity"))</f>
        <v>23</v>
      </c>
      <c r="C186" s="11">
        <f>COUNTIFS(Sheet1!$BA$2:$BA$200,"None",Sheet1!$BS$2:$BS$200,"Core")</f>
        <v>17</v>
      </c>
    </row>
    <row r="187" spans="1:3" x14ac:dyDescent="0.25">
      <c r="A187" s="11" t="s">
        <v>224</v>
      </c>
      <c r="B187" s="11">
        <f>(COUNTIFS(Sheet1!$BA$2:$BA$200,"Traditional teaching",Sheet1!$BS$2:$BS$200,"Core")+COUNTIFS(Sheet1!$BA$2:$BA$200,"Traditional teaching",Sheet1!$BS$2:$BS$200,"Sensitivity"))</f>
        <v>2</v>
      </c>
      <c r="C187" s="11">
        <f>COUNTIFS(Sheet1!$BA$2:$BA$200,"Traditional teaching",Sheet1!$BS$2:$BS$200,"Core")</f>
        <v>2</v>
      </c>
    </row>
    <row r="188" spans="1:3" x14ac:dyDescent="0.25">
      <c r="A188" s="11" t="s">
        <v>225</v>
      </c>
      <c r="B188" s="11">
        <f>(COUNTIFS(Sheet1!$BA$2:$BA$200,"Non-immersive digital",Sheet1!$BS$2:$BS$200,"Core")+COUNTIFS(Sheet1!$BA$2:$BA$200,"Non-immersive digital",Sheet1!$BS$2:$BS$200,"Sensitivity"))</f>
        <v>4</v>
      </c>
      <c r="C188" s="11">
        <f>COUNTIFS(Sheet1!$BA$2:$BA$200,"Non-immersive digital",Sheet1!$BS$2:$BS$200,"Core")</f>
        <v>2</v>
      </c>
    </row>
    <row r="189" spans="1:3" x14ac:dyDescent="0.25">
      <c r="A189" s="11" t="s">
        <v>226</v>
      </c>
      <c r="B189" s="11">
        <f>(COUNTIFS(Sheet1!$BA$2:$BA$200,"Traditional + non-immersive",Sheet1!$BS$2:$BS$200,"Core")+COUNTIFS(Sheet1!$BA$2:$BA$200,"Traditional + non-immersive",Sheet1!$BS$2:$BS$200,"Sensitivity"))</f>
        <v>1</v>
      </c>
      <c r="C189" s="11">
        <f>COUNTIFS(Sheet1!$BA$2:$BA$200,"Traditional + non-immersive",Sheet1!$BS$2:$BS$200,"Core")</f>
        <v>0</v>
      </c>
    </row>
    <row r="190" spans="1:3" x14ac:dyDescent="0.25">
      <c r="A190" s="11" t="s">
        <v>227</v>
      </c>
      <c r="B190" s="11">
        <f>(COUNTIFS(Sheet1!$BA$2:$BA$200,"Other XR",Sheet1!$BS$2:$BS$200,"Core")+COUNTIFS(Sheet1!$BA$2:$BA$200,"Other XR",Sheet1!$BS$2:$BS$200,"Sensitivity"))</f>
        <v>2</v>
      </c>
      <c r="C190" s="11">
        <f>COUNTIFS(Sheet1!$BA$2:$BA$200,"Other XR",Sheet1!$BS$2:$BS$200,"Core")</f>
        <v>0</v>
      </c>
    </row>
    <row r="191" spans="1:3" x14ac:dyDescent="0.25">
      <c r="A191" s="13" t="s">
        <v>150</v>
      </c>
      <c r="B191" s="13">
        <f>SUM(B186:B190)</f>
        <v>32</v>
      </c>
      <c r="C191" s="13">
        <f>SUM(C186:C190)</f>
        <v>21</v>
      </c>
    </row>
    <row r="193" spans="1:3" x14ac:dyDescent="0.25">
      <c r="A193" s="9" t="s">
        <v>228</v>
      </c>
    </row>
    <row r="194" spans="1:3" ht="25.5" x14ac:dyDescent="0.25">
      <c r="A194" s="10" t="s">
        <v>141</v>
      </c>
      <c r="B194" s="10" t="s">
        <v>214</v>
      </c>
      <c r="C194" s="10" t="s">
        <v>143</v>
      </c>
    </row>
    <row r="195" spans="1:3" x14ac:dyDescent="0.25">
      <c r="A195" s="11" t="s">
        <v>229</v>
      </c>
      <c r="B195" s="11">
        <f>(COUNTIFS(Sheet1!$BF$2:$BF$200,"Inferential with effect size",Sheet1!$BS$2:$BS$200,"Core")+COUNTIFS(Sheet1!$BF$2:$BF$200,"Inferential with effect size",Sheet1!$BS$2:$BS$200,"Sensitivity"))</f>
        <v>0</v>
      </c>
      <c r="C195" s="11">
        <f>COUNTIFS(Sheet1!$BF$2:$BF$200,"Inferential with effect size",Sheet1!$BS$2:$BS$200,"Core")</f>
        <v>0</v>
      </c>
    </row>
    <row r="196" spans="1:3" x14ac:dyDescent="0.25">
      <c r="A196" s="11" t="s">
        <v>230</v>
      </c>
      <c r="B196" s="11">
        <f>(COUNTIFS(Sheet1!$BF$2:$BF$200,"Inferential, no effect size",Sheet1!$BS$2:$BS$200,"Core")+COUNTIFS(Sheet1!$BF$2:$BF$200,"Inferential, no effect size",Sheet1!$BS$2:$BS$200,"Sensitivity"))</f>
        <v>6</v>
      </c>
      <c r="C196" s="11">
        <f>COUNTIFS(Sheet1!$BF$2:$BF$200,"Inferential, no effect size",Sheet1!$BS$2:$BS$200,"Core")</f>
        <v>4</v>
      </c>
    </row>
    <row r="197" spans="1:3" x14ac:dyDescent="0.25">
      <c r="A197" s="11" t="s">
        <v>231</v>
      </c>
      <c r="B197" s="11">
        <f>(COUNTIFS(Sheet1!$BF$2:$BF$200,"Descriptive only",Sheet1!$BS$2:$BS$200,"Core")+COUNTIFS(Sheet1!$BF$2:$BF$200,"Descriptive only",Sheet1!$BS$2:$BS$200,"Sensitivity"))</f>
        <v>24</v>
      </c>
      <c r="C197" s="11">
        <f>COUNTIFS(Sheet1!$BF$2:$BF$200,"Descriptive only",Sheet1!$BS$2:$BS$200,"Core")</f>
        <v>16</v>
      </c>
    </row>
    <row r="198" spans="1:3" x14ac:dyDescent="0.25">
      <c r="A198" s="11" t="s">
        <v>232</v>
      </c>
      <c r="B198" s="11">
        <f>(COUNTIFS(Sheet1!$BF$2:$BF$200,"Qualitative only",Sheet1!$BS$2:$BS$200,"Core")+COUNTIFS(Sheet1!$BF$2:$BF$200,"Qualitative only",Sheet1!$BS$2:$BS$200,"Sensitivity"))</f>
        <v>2</v>
      </c>
      <c r="C198" s="11">
        <f>COUNTIFS(Sheet1!$BF$2:$BF$200,"Qualitative only",Sheet1!$BS$2:$BS$200,"Core")</f>
        <v>1</v>
      </c>
    </row>
    <row r="199" spans="1:3" x14ac:dyDescent="0.25">
      <c r="A199" s="13" t="s">
        <v>150</v>
      </c>
      <c r="B199" s="13">
        <f>SUM(B195:B198)</f>
        <v>32</v>
      </c>
      <c r="C199" s="13">
        <f>SUM(C195:C198)</f>
        <v>21</v>
      </c>
    </row>
    <row r="201" spans="1:3" x14ac:dyDescent="0.25">
      <c r="A201" s="9" t="s">
        <v>233</v>
      </c>
    </row>
    <row r="202" spans="1:3" ht="25.5" x14ac:dyDescent="0.25">
      <c r="A202" s="10" t="s">
        <v>141</v>
      </c>
      <c r="B202" s="10" t="s">
        <v>214</v>
      </c>
      <c r="C202" s="10" t="s">
        <v>143</v>
      </c>
    </row>
    <row r="203" spans="1:3" x14ac:dyDescent="0.25">
      <c r="A203" s="11" t="s">
        <v>234</v>
      </c>
      <c r="B203" s="11">
        <f>(COUNTIFS(Sheet1!$BI$2:$BI$200,"Yes",Sheet1!$BS$2:$BS$200,"Core")+COUNTIFS(Sheet1!$BI$2:$BI$200,"Yes",Sheet1!$BS$2:$BS$200,"Sensitivity"))</f>
        <v>8</v>
      </c>
      <c r="C203" s="11">
        <f>COUNTIFS(Sheet1!$BI$2:$BI$200,"Yes",Sheet1!$BS$2:$BS$200,"Core")</f>
        <v>3</v>
      </c>
    </row>
    <row r="204" spans="1:3" x14ac:dyDescent="0.25">
      <c r="A204" s="11" t="s">
        <v>235</v>
      </c>
      <c r="B204" s="11">
        <f>(COUNTIFS(Sheet1!$BI$2:$BI$200,"Adapted",Sheet1!$BS$2:$BS$200,"Core")+COUNTIFS(Sheet1!$BI$2:$BI$200,"Adapted",Sheet1!$BS$2:$BS$200,"Sensitivity"))</f>
        <v>6</v>
      </c>
      <c r="C204" s="11">
        <f>COUNTIFS(Sheet1!$BI$2:$BI$200,"Adapted",Sheet1!$BS$2:$BS$200,"Core")</f>
        <v>5</v>
      </c>
    </row>
    <row r="205" spans="1:3" x14ac:dyDescent="0.25">
      <c r="A205" s="11" t="s">
        <v>236</v>
      </c>
      <c r="B205" s="11">
        <f>(COUNTIFS(Sheet1!$BI$2:$BI$200,"Partly",Sheet1!$BS$2:$BS$200,"Core")+COUNTIFS(Sheet1!$BI$2:$BI$200,"Partly",Sheet1!$BS$2:$BS$200,"Sensitivity"))</f>
        <v>3</v>
      </c>
      <c r="C205" s="11">
        <f>COUNTIFS(Sheet1!$BI$2:$BI$200,"Partly",Sheet1!$BS$2:$BS$200,"Core")</f>
        <v>3</v>
      </c>
    </row>
    <row r="206" spans="1:3" x14ac:dyDescent="0.25">
      <c r="A206" s="11" t="s">
        <v>237</v>
      </c>
      <c r="B206" s="11">
        <f>(COUNTIFS(Sheet1!$BI$2:$BI$200,"No",Sheet1!$BS$2:$BS$200,"Core")+COUNTIFS(Sheet1!$BI$2:$BI$200,"No",Sheet1!$BS$2:$BS$200,"Sensitivity"))</f>
        <v>13</v>
      </c>
      <c r="C206" s="11">
        <f>COUNTIFS(Sheet1!$BI$2:$BI$200,"No",Sheet1!$BS$2:$BS$200,"Core")</f>
        <v>9</v>
      </c>
    </row>
    <row r="207" spans="1:3" x14ac:dyDescent="0.25">
      <c r="A207" s="11" t="s">
        <v>238</v>
      </c>
      <c r="B207" s="11">
        <f>(COUNTIFS(Sheet1!$BI$2:$BI$200,"N/A",Sheet1!$BS$2:$BS$200,"Core")+COUNTIFS(Sheet1!$BI$2:$BI$200,"N/A",Sheet1!$BS$2:$BS$200,"Sensitivity"))</f>
        <v>2</v>
      </c>
      <c r="C207" s="11">
        <f>COUNTIFS(Sheet1!$BI$2:$BI$200,"N/A",Sheet1!$BS$2:$BS$200,"Core")</f>
        <v>1</v>
      </c>
    </row>
    <row r="208" spans="1:3" x14ac:dyDescent="0.25">
      <c r="A208" s="13" t="s">
        <v>150</v>
      </c>
      <c r="B208" s="13">
        <f>SUM(B203:B207)</f>
        <v>32</v>
      </c>
      <c r="C208" s="13">
        <f>SUM(C203:C207)</f>
        <v>21</v>
      </c>
    </row>
    <row r="210" spans="1:3" x14ac:dyDescent="0.25">
      <c r="A210" s="9" t="s">
        <v>239</v>
      </c>
    </row>
    <row r="211" spans="1:3" ht="25.5" x14ac:dyDescent="0.25">
      <c r="A211" s="10" t="s">
        <v>141</v>
      </c>
      <c r="B211" s="10" t="s">
        <v>214</v>
      </c>
      <c r="C211" s="10" t="s">
        <v>143</v>
      </c>
    </row>
    <row r="212" spans="1:3" x14ac:dyDescent="0.25">
      <c r="A212" s="11" t="s">
        <v>240</v>
      </c>
      <c r="B212" s="11">
        <f>(COUNTIFS(Sheet1!$BL$2:$BL$200,"Quantitative descriptive",Sheet1!$BS$2:$BS$200,"Core")+COUNTIFS(Sheet1!$BL$2:$BL$200,"Quantitative descriptive",Sheet1!$BS$2:$BS$200,"Sensitivity"))</f>
        <v>21</v>
      </c>
      <c r="C212" s="11">
        <f>COUNTIFS(Sheet1!$BL$2:$BL$200,"Quantitative descriptive",Sheet1!$BS$2:$BS$200,"Core")</f>
        <v>14</v>
      </c>
    </row>
    <row r="213" spans="1:3" x14ac:dyDescent="0.25">
      <c r="A213" s="11" t="s">
        <v>241</v>
      </c>
      <c r="B213" s="11">
        <f>(COUNTIFS(Sheet1!$BL$2:$BL$200,"Quantitative non-randomised",Sheet1!$BS$2:$BS$200,"Core")+COUNTIFS(Sheet1!$BL$2:$BL$200,"Quantitative non-randomised",Sheet1!$BS$2:$BS$200,"Sensitivity"))</f>
        <v>8</v>
      </c>
      <c r="C213" s="11">
        <f>COUNTIFS(Sheet1!$BL$2:$BL$200,"Quantitative non-randomised",Sheet1!$BS$2:$BS$200,"Core")</f>
        <v>5</v>
      </c>
    </row>
    <row r="214" spans="1:3" x14ac:dyDescent="0.25">
      <c r="A214" s="11" t="s">
        <v>221</v>
      </c>
      <c r="B214" s="11">
        <f>(COUNTIFS(Sheet1!$BL$2:$BL$200,"Qualitative",Sheet1!$BS$2:$BS$200,"Core")+COUNTIFS(Sheet1!$BL$2:$BL$200,"Qualitative",Sheet1!$BS$2:$BS$200,"Sensitivity"))</f>
        <v>3</v>
      </c>
      <c r="C214" s="11">
        <f>COUNTIFS(Sheet1!$BL$2:$BL$200,"Qualitative",Sheet1!$BS$2:$BS$200,"Core")</f>
        <v>2</v>
      </c>
    </row>
    <row r="215" spans="1:3" x14ac:dyDescent="0.25">
      <c r="A215" s="11" t="s">
        <v>242</v>
      </c>
      <c r="B215" s="11">
        <f>(COUNTIFS(Sheet1!$BL$2:$BL$200,"Mixed methods",Sheet1!$BS$2:$BS$200,"Core")+COUNTIFS(Sheet1!$BL$2:$BL$200,"Mixed methods",Sheet1!$BS$2:$BS$200,"Sensitivity"))</f>
        <v>0</v>
      </c>
      <c r="C215" s="11">
        <f>COUNTIFS(Sheet1!$BL$2:$BL$200,"Mixed methods",Sheet1!$BS$2:$BS$200,"Core")</f>
        <v>0</v>
      </c>
    </row>
    <row r="216" spans="1:3" x14ac:dyDescent="0.25">
      <c r="A216" s="11" t="s">
        <v>243</v>
      </c>
      <c r="B216" s="11">
        <f>(COUNTIFS(Sheet1!$BL$2:$BL$200,"Quantitative RCT",Sheet1!$BS$2:$BS$200,"Core")+COUNTIFS(Sheet1!$BL$2:$BL$200,"Quantitative RCT",Sheet1!$BS$2:$BS$200,"Sensitivity"))</f>
        <v>0</v>
      </c>
      <c r="C216" s="11">
        <f>COUNTIFS(Sheet1!$BL$2:$BL$200,"Quantitative RCT",Sheet1!$BS$2:$BS$200,"Core")</f>
        <v>0</v>
      </c>
    </row>
    <row r="217" spans="1:3" x14ac:dyDescent="0.25">
      <c r="A217" s="13" t="s">
        <v>150</v>
      </c>
      <c r="B217" s="13">
        <f>SUM(B212:B216)</f>
        <v>32</v>
      </c>
      <c r="C217" s="13">
        <f>SUM(C212:C216)</f>
        <v>21</v>
      </c>
    </row>
    <row r="219" spans="1:3" x14ac:dyDescent="0.25">
      <c r="A219" s="9" t="s">
        <v>244</v>
      </c>
    </row>
    <row r="220" spans="1:3" ht="25.5" x14ac:dyDescent="0.25">
      <c r="A220" s="10" t="s">
        <v>245</v>
      </c>
      <c r="B220" s="10" t="s">
        <v>214</v>
      </c>
      <c r="C220" s="10" t="s">
        <v>143</v>
      </c>
    </row>
    <row r="221" spans="1:3" x14ac:dyDescent="0.25">
      <c r="A221" s="11" t="s">
        <v>97</v>
      </c>
      <c r="B221" s="11">
        <f>COUNTIFS(Sheet1!$BO$2:$BO$200,0,Sheet1!$BS$2:$BS$200,"Core")+COUNTIFS(Sheet1!$BO$2:$BO$200,0,Sheet1!$BS$2:$BS$200,"Sensitivity")</f>
        <v>5</v>
      </c>
      <c r="C221" s="11">
        <f>COUNTIFS(Sheet1!$BO$2:$BO$200,0,Sheet1!$BS$2:$BS$200,"Core")</f>
        <v>3</v>
      </c>
    </row>
    <row r="222" spans="1:3" x14ac:dyDescent="0.25">
      <c r="A222" s="11" t="s">
        <v>246</v>
      </c>
      <c r="B222" s="11">
        <f>COUNTIFS(Sheet1!$BO$2:$BO$200,1,Sheet1!$BS$2:$BS$200,"Core")+COUNTIFS(Sheet1!$BO$2:$BO$200,1,Sheet1!$BS$2:$BS$200,"Sensitivity")</f>
        <v>4</v>
      </c>
      <c r="C222" s="11">
        <f>COUNTIFS(Sheet1!$BO$2:$BO$200,1,Sheet1!$BS$2:$BS$200,"Core")</f>
        <v>3</v>
      </c>
    </row>
    <row r="223" spans="1:3" x14ac:dyDescent="0.25">
      <c r="A223" s="11" t="s">
        <v>247</v>
      </c>
      <c r="B223" s="11">
        <f>COUNTIFS(Sheet1!$BO$2:$BO$200,2,Sheet1!$BS$2:$BS$200,"Core")+COUNTIFS(Sheet1!$BO$2:$BO$200,2,Sheet1!$BS$2:$BS$200,"Sensitivity")</f>
        <v>9</v>
      </c>
      <c r="C223" s="11">
        <f>COUNTIFS(Sheet1!$BO$2:$BO$200,2,Sheet1!$BS$2:$BS$200,"Core")</f>
        <v>7</v>
      </c>
    </row>
    <row r="224" spans="1:3" x14ac:dyDescent="0.25">
      <c r="A224" s="11" t="s">
        <v>248</v>
      </c>
      <c r="B224" s="11">
        <f>COUNTIFS(Sheet1!$BO$2:$BO$200,3,Sheet1!$BS$2:$BS$200,"Core")+COUNTIFS(Sheet1!$BO$2:$BO$200,3,Sheet1!$BS$2:$BS$200,"Sensitivity")</f>
        <v>11</v>
      </c>
      <c r="C224" s="11">
        <f>COUNTIFS(Sheet1!$BO$2:$BO$200,3,Sheet1!$BS$2:$BS$200,"Core")</f>
        <v>6</v>
      </c>
    </row>
    <row r="225" spans="1:3" x14ac:dyDescent="0.25">
      <c r="A225" s="11" t="s">
        <v>249</v>
      </c>
      <c r="B225" s="11">
        <f>COUNTIFS(Sheet1!$BO$2:$BO$200,4,Sheet1!$BS$2:$BS$200,"Core")+COUNTIFS(Sheet1!$BO$2:$BO$200,4,Sheet1!$BS$2:$BS$200,"Sensitivity")</f>
        <v>3</v>
      </c>
      <c r="C225" s="11">
        <f>COUNTIFS(Sheet1!$BO$2:$BO$200,4,Sheet1!$BS$2:$BS$200,"Core")</f>
        <v>2</v>
      </c>
    </row>
    <row r="226" spans="1:3" x14ac:dyDescent="0.25">
      <c r="A226" s="11" t="s">
        <v>250</v>
      </c>
      <c r="B226" s="11">
        <f>COUNTIFS(Sheet1!$BO$2:$BO$200,5,Sheet1!$BS$2:$BS$200,"Core")+COUNTIFS(Sheet1!$BO$2:$BO$200,5,Sheet1!$BS$2:$BS$200,"Sensitivity")</f>
        <v>0</v>
      </c>
      <c r="C226" s="11">
        <f>COUNTIFS(Sheet1!$BO$2:$BO$200,5,Sheet1!$BS$2:$BS$200,"Core")</f>
        <v>0</v>
      </c>
    </row>
    <row r="227" spans="1:3" x14ac:dyDescent="0.25">
      <c r="A227" s="13" t="s">
        <v>251</v>
      </c>
      <c r="B227" s="11">
        <f t="array" ref="B227">MEDIAN(IF(Sheet1!$BS$2:$BS$200&lt;&gt;"Excluded",IF(ISNUMBER(Sheet1!$BO$2:$BO$200),Sheet1!$BO$2:$BO$200)))</f>
        <v>2</v>
      </c>
    </row>
    <row r="230" spans="1:3" x14ac:dyDescent="0.25">
      <c r="A230" s="9" t="s">
        <v>252</v>
      </c>
    </row>
    <row r="231" spans="1:3" ht="25.5" x14ac:dyDescent="0.25">
      <c r="A231" s="10" t="s">
        <v>141</v>
      </c>
      <c r="B231" s="10" t="s">
        <v>214</v>
      </c>
      <c r="C231" s="10" t="s">
        <v>143</v>
      </c>
    </row>
    <row r="232" spans="1:3" x14ac:dyDescent="0.25">
      <c r="A232" s="11" t="s">
        <v>253</v>
      </c>
      <c r="B232" s="11">
        <f>(COUNTIFS(Sheet1!$BP$2:$BP$200,"High",Sheet1!$BS$2:$BS$200,"Core")+COUNTIFS(Sheet1!$BP$2:$BP$200,"High",Sheet1!$BS$2:$BS$200,"Sensitivity"))</f>
        <v>0</v>
      </c>
      <c r="C232" s="11">
        <f>COUNTIFS(Sheet1!$BP$2:$BP$200,"High",Sheet1!$BS$2:$BS$200,"Core")</f>
        <v>0</v>
      </c>
    </row>
    <row r="233" spans="1:3" x14ac:dyDescent="0.25">
      <c r="A233" s="11" t="s">
        <v>254</v>
      </c>
      <c r="B233" s="11">
        <f>(COUNTIFS(Sheet1!$BP$2:$BP$200,"Moderate",Sheet1!$BS$2:$BS$200,"Core")+COUNTIFS(Sheet1!$BP$2:$BP$200,"Moderate",Sheet1!$BS$2:$BS$200,"Sensitivity"))</f>
        <v>6</v>
      </c>
      <c r="C233" s="11">
        <f>COUNTIFS(Sheet1!$BP$2:$BP$200,"Moderate",Sheet1!$BS$2:$BS$200,"Core")</f>
        <v>4</v>
      </c>
    </row>
    <row r="234" spans="1:3" x14ac:dyDescent="0.25">
      <c r="A234" s="11" t="s">
        <v>255</v>
      </c>
      <c r="B234" s="11">
        <f>(COUNTIFS(Sheet1!$BP$2:$BP$200,"Low",Sheet1!$BS$2:$BS$200,"Core")+COUNTIFS(Sheet1!$BP$2:$BP$200,"Low",Sheet1!$BS$2:$BS$200,"Sensitivity"))</f>
        <v>26</v>
      </c>
      <c r="C234" s="11">
        <f>COUNTIFS(Sheet1!$BP$2:$BP$200,"Low",Sheet1!$BS$2:$BS$200,"Core")</f>
        <v>17</v>
      </c>
    </row>
    <row r="235" spans="1:3" x14ac:dyDescent="0.25">
      <c r="A235" s="13" t="s">
        <v>150</v>
      </c>
      <c r="B235" s="13">
        <f>SUM(B232:B234)</f>
        <v>32</v>
      </c>
      <c r="C235" s="13">
        <f>SUM(C232:C234)</f>
        <v>21</v>
      </c>
    </row>
    <row r="237" spans="1:3" x14ac:dyDescent="0.25">
      <c r="A237" s="9" t="s">
        <v>256</v>
      </c>
    </row>
    <row r="238" spans="1:3" ht="25.5" x14ac:dyDescent="0.25">
      <c r="A238" s="10" t="s">
        <v>141</v>
      </c>
      <c r="B238" s="10" t="s">
        <v>214</v>
      </c>
      <c r="C238" s="10" t="s">
        <v>143</v>
      </c>
    </row>
    <row r="239" spans="1:3" x14ac:dyDescent="0.25">
      <c r="A239" s="11" t="s">
        <v>257</v>
      </c>
      <c r="B239" s="11">
        <f>(COUNTIFS(Sheet1!$BR$2:$BR$200,"Cybersickness / physical discomfort reported",Sheet1!$BS$2:$BS$200,"Core")+COUNTIFS(Sheet1!$BR$2:$BR$200,"Cybersickness / physical discomfort reported",Sheet1!$BS$2:$BS$200,"Sensitivity"))</f>
        <v>6</v>
      </c>
      <c r="C239" s="11">
        <f>COUNTIFS(Sheet1!$BR$2:$BR$200,"Cybersickness / physical discomfort reported",Sheet1!$BS$2:$BS$200,"Core")</f>
        <v>3</v>
      </c>
    </row>
    <row r="240" spans="1:3" x14ac:dyDescent="0.25">
      <c r="A240" s="11" t="s">
        <v>258</v>
      </c>
      <c r="B240" s="11">
        <f>(COUNTIFS(Sheet1!$BR$2:$BR$200,"Usability, behavioural or safety issues only",Sheet1!$BS$2:$BS$200,"Core")+COUNTIFS(Sheet1!$BR$2:$BR$200,"Usability, behavioural or safety issues only",Sheet1!$BS$2:$BS$200,"Sensitivity"))</f>
        <v>14</v>
      </c>
      <c r="C240" s="11">
        <f>COUNTIFS(Sheet1!$BR$2:$BR$200,"Usability, behavioural or safety issues only",Sheet1!$BS$2:$BS$200,"Core")</f>
        <v>9</v>
      </c>
    </row>
    <row r="241" spans="1:3" x14ac:dyDescent="0.25">
      <c r="A241" s="11" t="s">
        <v>259</v>
      </c>
      <c r="B241" s="11">
        <f>(COUNTIFS(Sheet1!$BR$2:$BR$200,"Explicitly none observed",Sheet1!$BS$2:$BS$200,"Core")+COUNTIFS(Sheet1!$BR$2:$BR$200,"Explicitly none observed",Sheet1!$BS$2:$BS$200,"Sensitivity"))</f>
        <v>4</v>
      </c>
      <c r="C241" s="11">
        <f>COUNTIFS(Sheet1!$BR$2:$BR$200,"Explicitly none observed",Sheet1!$BS$2:$BS$200,"Core")</f>
        <v>3</v>
      </c>
    </row>
    <row r="242" spans="1:3" x14ac:dyDescent="0.25">
      <c r="A242" s="11" t="s">
        <v>122</v>
      </c>
      <c r="B242" s="11">
        <f>(COUNTIFS(Sheet1!$BR$2:$BR$200,"Not reported",Sheet1!$BS$2:$BS$200,"Core")+COUNTIFS(Sheet1!$BR$2:$BR$200,"Not reported",Sheet1!$BS$2:$BS$200,"Sensitivity"))</f>
        <v>8</v>
      </c>
      <c r="C242" s="11">
        <f>COUNTIFS(Sheet1!$BR$2:$BR$200,"Not reported",Sheet1!$BS$2:$BS$200,"Core")</f>
        <v>6</v>
      </c>
    </row>
    <row r="243" spans="1:3" x14ac:dyDescent="0.25">
      <c r="A243" s="13" t="s">
        <v>150</v>
      </c>
      <c r="B243" s="13">
        <f>SUM(B239:B242)</f>
        <v>32</v>
      </c>
      <c r="C243" s="13">
        <f>SUM(C239:C242)</f>
        <v>21</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zoomScaleNormal="100" workbookViewId="0"/>
  </sheetViews>
  <sheetFormatPr defaultColWidth="8.7109375" defaultRowHeight="15" x14ac:dyDescent="0.25"/>
  <sheetData>
    <row r="1" spans="1:1" ht="15.75" x14ac:dyDescent="0.25">
      <c r="A1" s="2" t="s">
        <v>260</v>
      </c>
    </row>
  </sheetData>
  <pageMargins left="0.75" right="0.75" top="1" bottom="1"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67"/>
  <sheetViews>
    <sheetView zoomScaleNormal="100" workbookViewId="0">
      <pane xSplit="2" ySplit="1" topLeftCell="C58" activePane="bottomRight" state="frozen"/>
      <selection pane="topRight" activeCell="C1" sqref="C1"/>
      <selection pane="bottomLeft" activeCell="A2" sqref="A2"/>
      <selection pane="bottomRight" activeCell="C23" sqref="C23"/>
    </sheetView>
  </sheetViews>
  <sheetFormatPr defaultColWidth="8.7109375" defaultRowHeight="15" x14ac:dyDescent="0.25"/>
  <cols>
    <col min="1" max="1" width="8" customWidth="1"/>
    <col min="2" max="2" width="40" customWidth="1"/>
    <col min="3" max="3" width="22" customWidth="1"/>
    <col min="4" max="11" width="10" customWidth="1"/>
    <col min="12" max="12" width="80" customWidth="1"/>
  </cols>
  <sheetData>
    <row r="1" spans="1:12" ht="51" x14ac:dyDescent="0.25">
      <c r="A1" s="14" t="s">
        <v>261</v>
      </c>
      <c r="B1" s="14" t="s">
        <v>262</v>
      </c>
      <c r="C1" s="14" t="s">
        <v>263</v>
      </c>
      <c r="D1" s="14" t="s">
        <v>264</v>
      </c>
      <c r="E1" s="14" t="s">
        <v>265</v>
      </c>
      <c r="F1" s="14" t="s">
        <v>266</v>
      </c>
      <c r="G1" s="14" t="s">
        <v>267</v>
      </c>
      <c r="H1" s="14" t="s">
        <v>268</v>
      </c>
      <c r="I1" s="14" t="s">
        <v>269</v>
      </c>
      <c r="J1" s="14" t="s">
        <v>270</v>
      </c>
      <c r="K1" s="14" t="s">
        <v>271</v>
      </c>
      <c r="L1" s="14" t="s">
        <v>272</v>
      </c>
    </row>
    <row r="2" spans="1:12" ht="38.25" x14ac:dyDescent="0.25">
      <c r="A2" s="1">
        <v>1</v>
      </c>
      <c r="B2" s="1" t="s">
        <v>273</v>
      </c>
      <c r="C2" s="1" t="s">
        <v>240</v>
      </c>
      <c r="D2" s="1" t="s">
        <v>234</v>
      </c>
      <c r="E2" s="1" t="s">
        <v>234</v>
      </c>
      <c r="F2" s="1" t="s">
        <v>234</v>
      </c>
      <c r="G2" s="1" t="s">
        <v>274</v>
      </c>
      <c r="H2" s="1" t="s">
        <v>237</v>
      </c>
      <c r="I2" s="1" t="s">
        <v>274</v>
      </c>
      <c r="J2" s="1" t="s">
        <v>234</v>
      </c>
      <c r="K2" s="1">
        <f t="shared" ref="K2:K46" si="0">IF(OR(D2&lt;&gt;"Yes",E2&lt;&gt;"Yes"),"",COUNTIF(F2:J2,"Yes"))</f>
        <v>2</v>
      </c>
      <c r="L2" s="1" t="s">
        <v>275</v>
      </c>
    </row>
    <row r="3" spans="1:12" ht="63.75" x14ac:dyDescent="0.25">
      <c r="A3" s="1">
        <v>2</v>
      </c>
      <c r="B3" s="1" t="s">
        <v>276</v>
      </c>
      <c r="C3" s="1" t="s">
        <v>240</v>
      </c>
      <c r="D3" s="1" t="s">
        <v>234</v>
      </c>
      <c r="E3" s="1" t="s">
        <v>234</v>
      </c>
      <c r="F3" s="1" t="s">
        <v>234</v>
      </c>
      <c r="G3" s="1" t="s">
        <v>274</v>
      </c>
      <c r="H3" s="1" t="s">
        <v>234</v>
      </c>
      <c r="I3" s="1" t="s">
        <v>274</v>
      </c>
      <c r="J3" s="1" t="s">
        <v>234</v>
      </c>
      <c r="K3" s="1">
        <f t="shared" si="0"/>
        <v>3</v>
      </c>
      <c r="L3" s="1" t="s">
        <v>277</v>
      </c>
    </row>
    <row r="4" spans="1:12" ht="38.25" x14ac:dyDescent="0.25">
      <c r="A4" s="1">
        <v>3</v>
      </c>
      <c r="B4" s="1" t="s">
        <v>278</v>
      </c>
      <c r="C4" s="1" t="s">
        <v>240</v>
      </c>
      <c r="D4" s="1" t="s">
        <v>234</v>
      </c>
      <c r="E4" s="1" t="s">
        <v>234</v>
      </c>
      <c r="F4" s="1" t="s">
        <v>237</v>
      </c>
      <c r="G4" s="1" t="s">
        <v>237</v>
      </c>
      <c r="H4" s="1" t="s">
        <v>274</v>
      </c>
      <c r="I4" s="1" t="s">
        <v>274</v>
      </c>
      <c r="J4" s="1" t="s">
        <v>234</v>
      </c>
      <c r="K4" s="1">
        <f t="shared" si="0"/>
        <v>1</v>
      </c>
      <c r="L4" s="1" t="s">
        <v>279</v>
      </c>
    </row>
    <row r="5" spans="1:12" ht="89.25" x14ac:dyDescent="0.25">
      <c r="A5" s="1">
        <v>4</v>
      </c>
      <c r="B5" s="1" t="s">
        <v>280</v>
      </c>
      <c r="C5" s="1" t="s">
        <v>240</v>
      </c>
      <c r="D5" s="1" t="s">
        <v>234</v>
      </c>
      <c r="E5" s="1" t="s">
        <v>234</v>
      </c>
      <c r="F5" s="1" t="s">
        <v>234</v>
      </c>
      <c r="G5" s="1" t="s">
        <v>237</v>
      </c>
      <c r="H5" s="1" t="s">
        <v>274</v>
      </c>
      <c r="I5" s="1" t="s">
        <v>274</v>
      </c>
      <c r="J5" s="1" t="s">
        <v>234</v>
      </c>
      <c r="K5" s="1">
        <f t="shared" si="0"/>
        <v>2</v>
      </c>
      <c r="L5" s="1" t="s">
        <v>281</v>
      </c>
    </row>
    <row r="6" spans="1:12" ht="38.25" x14ac:dyDescent="0.25">
      <c r="A6" s="1">
        <v>5</v>
      </c>
      <c r="B6" s="1" t="s">
        <v>282</v>
      </c>
      <c r="C6" s="1" t="s">
        <v>240</v>
      </c>
      <c r="D6" s="1" t="s">
        <v>234</v>
      </c>
      <c r="E6" s="1" t="s">
        <v>234</v>
      </c>
      <c r="F6" s="1" t="s">
        <v>234</v>
      </c>
      <c r="G6" s="1" t="s">
        <v>274</v>
      </c>
      <c r="H6" s="1" t="s">
        <v>274</v>
      </c>
      <c r="I6" s="1" t="s">
        <v>274</v>
      </c>
      <c r="J6" s="1" t="s">
        <v>234</v>
      </c>
      <c r="K6" s="1">
        <f t="shared" si="0"/>
        <v>2</v>
      </c>
      <c r="L6" s="1" t="s">
        <v>283</v>
      </c>
    </row>
    <row r="7" spans="1:12" ht="38.25" x14ac:dyDescent="0.25">
      <c r="A7" s="1">
        <v>6</v>
      </c>
      <c r="B7" s="1" t="s">
        <v>284</v>
      </c>
      <c r="C7" s="1" t="s">
        <v>285</v>
      </c>
      <c r="D7" s="1" t="s">
        <v>237</v>
      </c>
      <c r="E7" s="1" t="s">
        <v>237</v>
      </c>
      <c r="F7" s="1"/>
      <c r="G7" s="1"/>
      <c r="H7" s="1"/>
      <c r="I7" s="1"/>
      <c r="J7" s="1"/>
      <c r="K7" s="1" t="str">
        <f t="shared" si="0"/>
        <v/>
      </c>
      <c r="L7" s="1" t="s">
        <v>286</v>
      </c>
    </row>
    <row r="8" spans="1:12" ht="25.5" x14ac:dyDescent="0.25">
      <c r="A8" s="1">
        <v>7</v>
      </c>
      <c r="B8" s="1" t="s">
        <v>287</v>
      </c>
      <c r="C8" s="1" t="s">
        <v>240</v>
      </c>
      <c r="D8" s="1" t="s">
        <v>234</v>
      </c>
      <c r="E8" s="1" t="s">
        <v>234</v>
      </c>
      <c r="F8" s="1" t="s">
        <v>274</v>
      </c>
      <c r="G8" s="1" t="s">
        <v>274</v>
      </c>
      <c r="H8" s="1" t="s">
        <v>237</v>
      </c>
      <c r="I8" s="1" t="s">
        <v>274</v>
      </c>
      <c r="J8" s="1" t="s">
        <v>274</v>
      </c>
      <c r="K8" s="1">
        <f t="shared" si="0"/>
        <v>0</v>
      </c>
      <c r="L8" s="1" t="s">
        <v>288</v>
      </c>
    </row>
    <row r="9" spans="1:12" ht="25.5" x14ac:dyDescent="0.25">
      <c r="A9" s="1">
        <v>8</v>
      </c>
      <c r="B9" s="1" t="s">
        <v>289</v>
      </c>
      <c r="C9" s="1" t="s">
        <v>285</v>
      </c>
      <c r="D9" s="1" t="s">
        <v>234</v>
      </c>
      <c r="E9" s="1" t="s">
        <v>237</v>
      </c>
      <c r="F9" s="1"/>
      <c r="G9" s="1"/>
      <c r="H9" s="1"/>
      <c r="I9" s="1"/>
      <c r="J9" s="1"/>
      <c r="K9" s="1" t="str">
        <f t="shared" si="0"/>
        <v/>
      </c>
      <c r="L9" s="1" t="s">
        <v>290</v>
      </c>
    </row>
    <row r="10" spans="1:12" ht="51" x14ac:dyDescent="0.25">
      <c r="A10" s="1">
        <v>9</v>
      </c>
      <c r="B10" s="1" t="s">
        <v>291</v>
      </c>
      <c r="C10" s="1" t="s">
        <v>221</v>
      </c>
      <c r="D10" s="1" t="s">
        <v>234</v>
      </c>
      <c r="E10" s="1" t="s">
        <v>234</v>
      </c>
      <c r="F10" s="1" t="s">
        <v>234</v>
      </c>
      <c r="G10" s="1" t="s">
        <v>234</v>
      </c>
      <c r="H10" s="1" t="s">
        <v>274</v>
      </c>
      <c r="I10" s="1" t="s">
        <v>234</v>
      </c>
      <c r="J10" s="1" t="s">
        <v>234</v>
      </c>
      <c r="K10" s="1">
        <f t="shared" si="0"/>
        <v>4</v>
      </c>
      <c r="L10" s="1" t="s">
        <v>292</v>
      </c>
    </row>
    <row r="11" spans="1:12" ht="38.25" x14ac:dyDescent="0.25">
      <c r="A11" s="1">
        <v>10</v>
      </c>
      <c r="B11" s="1" t="s">
        <v>293</v>
      </c>
      <c r="C11" s="1" t="s">
        <v>240</v>
      </c>
      <c r="D11" s="1" t="s">
        <v>234</v>
      </c>
      <c r="E11" s="1" t="s">
        <v>234</v>
      </c>
      <c r="F11" s="1" t="s">
        <v>234</v>
      </c>
      <c r="G11" s="1" t="s">
        <v>274</v>
      </c>
      <c r="H11" s="1" t="s">
        <v>237</v>
      </c>
      <c r="I11" s="1" t="s">
        <v>234</v>
      </c>
      <c r="J11" s="1" t="s">
        <v>234</v>
      </c>
      <c r="K11" s="1">
        <f t="shared" si="0"/>
        <v>3</v>
      </c>
      <c r="L11" s="1" t="s">
        <v>294</v>
      </c>
    </row>
    <row r="12" spans="1:12" ht="38.25" x14ac:dyDescent="0.25">
      <c r="A12" s="1">
        <v>11</v>
      </c>
      <c r="B12" s="1" t="s">
        <v>295</v>
      </c>
      <c r="C12" s="1" t="s">
        <v>240</v>
      </c>
      <c r="D12" s="1" t="s">
        <v>234</v>
      </c>
      <c r="E12" s="1" t="s">
        <v>234</v>
      </c>
      <c r="F12" s="1" t="s">
        <v>234</v>
      </c>
      <c r="G12" s="1" t="s">
        <v>274</v>
      </c>
      <c r="H12" s="1" t="s">
        <v>237</v>
      </c>
      <c r="I12" s="1" t="s">
        <v>274</v>
      </c>
      <c r="J12" s="1" t="s">
        <v>237</v>
      </c>
      <c r="K12" s="1">
        <f t="shared" si="0"/>
        <v>1</v>
      </c>
      <c r="L12" s="1" t="s">
        <v>296</v>
      </c>
    </row>
    <row r="13" spans="1:12" ht="25.5" x14ac:dyDescent="0.25">
      <c r="A13" s="1">
        <v>12</v>
      </c>
      <c r="B13" s="1" t="s">
        <v>297</v>
      </c>
      <c r="C13" s="1" t="s">
        <v>221</v>
      </c>
      <c r="D13" s="1" t="s">
        <v>234</v>
      </c>
      <c r="E13" s="1" t="s">
        <v>234</v>
      </c>
      <c r="F13" s="1" t="s">
        <v>234</v>
      </c>
      <c r="G13" s="1" t="s">
        <v>274</v>
      </c>
      <c r="H13" s="1" t="s">
        <v>274</v>
      </c>
      <c r="I13" s="1" t="s">
        <v>234</v>
      </c>
      <c r="J13" s="1" t="s">
        <v>274</v>
      </c>
      <c r="K13" s="1">
        <f t="shared" si="0"/>
        <v>2</v>
      </c>
      <c r="L13" s="1" t="s">
        <v>298</v>
      </c>
    </row>
    <row r="14" spans="1:12" ht="38.25" x14ac:dyDescent="0.25">
      <c r="A14" s="1">
        <v>13</v>
      </c>
      <c r="B14" s="1" t="s">
        <v>299</v>
      </c>
      <c r="C14" s="1" t="s">
        <v>240</v>
      </c>
      <c r="D14" s="1" t="s">
        <v>234</v>
      </c>
      <c r="E14" s="1" t="s">
        <v>234</v>
      </c>
      <c r="F14" s="1" t="s">
        <v>234</v>
      </c>
      <c r="G14" s="1" t="s">
        <v>234</v>
      </c>
      <c r="H14" s="1" t="s">
        <v>234</v>
      </c>
      <c r="I14" s="1" t="s">
        <v>274</v>
      </c>
      <c r="J14" s="1" t="s">
        <v>237</v>
      </c>
      <c r="K14" s="1">
        <f t="shared" si="0"/>
        <v>3</v>
      </c>
      <c r="L14" s="1" t="s">
        <v>300</v>
      </c>
    </row>
    <row r="15" spans="1:12" ht="25.5" x14ac:dyDescent="0.25">
      <c r="A15" s="1">
        <v>14</v>
      </c>
      <c r="B15" s="1" t="s">
        <v>301</v>
      </c>
      <c r="C15" s="1" t="s">
        <v>240</v>
      </c>
      <c r="D15" s="1" t="s">
        <v>234</v>
      </c>
      <c r="E15" s="1" t="s">
        <v>234</v>
      </c>
      <c r="F15" s="1" t="s">
        <v>234</v>
      </c>
      <c r="G15" s="1" t="s">
        <v>237</v>
      </c>
      <c r="H15" s="1" t="s">
        <v>234</v>
      </c>
      <c r="I15" s="1" t="s">
        <v>274</v>
      </c>
      <c r="J15" s="1" t="s">
        <v>234</v>
      </c>
      <c r="K15" s="1">
        <f t="shared" si="0"/>
        <v>3</v>
      </c>
      <c r="L15" s="1" t="s">
        <v>302</v>
      </c>
    </row>
    <row r="16" spans="1:12" ht="25.5" x14ac:dyDescent="0.25">
      <c r="A16" s="1">
        <v>15</v>
      </c>
      <c r="B16" s="1" t="s">
        <v>303</v>
      </c>
      <c r="C16" s="1" t="s">
        <v>285</v>
      </c>
      <c r="D16" s="1" t="s">
        <v>234</v>
      </c>
      <c r="E16" s="1" t="s">
        <v>237</v>
      </c>
      <c r="F16" s="1"/>
      <c r="G16" s="1"/>
      <c r="H16" s="1"/>
      <c r="I16" s="1"/>
      <c r="J16" s="1"/>
      <c r="K16" s="1" t="str">
        <f t="shared" si="0"/>
        <v/>
      </c>
      <c r="L16" s="1" t="s">
        <v>304</v>
      </c>
    </row>
    <row r="17" spans="1:12" ht="38.25" x14ac:dyDescent="0.25">
      <c r="A17" s="1">
        <v>16</v>
      </c>
      <c r="B17" s="1" t="s">
        <v>305</v>
      </c>
      <c r="C17" s="1" t="s">
        <v>241</v>
      </c>
      <c r="D17" s="1" t="s">
        <v>234</v>
      </c>
      <c r="E17" s="1" t="s">
        <v>234</v>
      </c>
      <c r="F17" s="1" t="s">
        <v>237</v>
      </c>
      <c r="G17" s="1" t="s">
        <v>237</v>
      </c>
      <c r="H17" s="1" t="s">
        <v>274</v>
      </c>
      <c r="I17" s="1" t="s">
        <v>237</v>
      </c>
      <c r="J17" s="1" t="s">
        <v>274</v>
      </c>
      <c r="K17" s="1">
        <f t="shared" si="0"/>
        <v>0</v>
      </c>
      <c r="L17" s="1" t="s">
        <v>306</v>
      </c>
    </row>
    <row r="18" spans="1:12" ht="25.5" x14ac:dyDescent="0.25">
      <c r="A18" s="1">
        <v>17</v>
      </c>
      <c r="B18" s="1" t="s">
        <v>307</v>
      </c>
      <c r="C18" s="1" t="s">
        <v>241</v>
      </c>
      <c r="D18" s="1" t="s">
        <v>234</v>
      </c>
      <c r="E18" s="1" t="s">
        <v>234</v>
      </c>
      <c r="F18" s="1" t="s">
        <v>237</v>
      </c>
      <c r="G18" s="1" t="s">
        <v>234</v>
      </c>
      <c r="H18" s="1" t="s">
        <v>234</v>
      </c>
      <c r="I18" s="1" t="s">
        <v>274</v>
      </c>
      <c r="J18" s="1" t="s">
        <v>234</v>
      </c>
      <c r="K18" s="1">
        <f t="shared" si="0"/>
        <v>3</v>
      </c>
      <c r="L18" s="1" t="s">
        <v>308</v>
      </c>
    </row>
    <row r="19" spans="1:12" ht="38.25" x14ac:dyDescent="0.25">
      <c r="A19" s="1">
        <v>18</v>
      </c>
      <c r="B19" s="1" t="s">
        <v>309</v>
      </c>
      <c r="C19" s="1" t="s">
        <v>240</v>
      </c>
      <c r="D19" s="1" t="s">
        <v>234</v>
      </c>
      <c r="E19" s="1" t="s">
        <v>234</v>
      </c>
      <c r="F19" s="1" t="s">
        <v>234</v>
      </c>
      <c r="G19" s="1" t="s">
        <v>274</v>
      </c>
      <c r="H19" s="1" t="s">
        <v>237</v>
      </c>
      <c r="I19" s="1" t="s">
        <v>234</v>
      </c>
      <c r="J19" s="1" t="s">
        <v>234</v>
      </c>
      <c r="K19" s="1">
        <f t="shared" si="0"/>
        <v>3</v>
      </c>
      <c r="L19" s="1" t="s">
        <v>310</v>
      </c>
    </row>
    <row r="20" spans="1:12" ht="51" x14ac:dyDescent="0.25">
      <c r="A20" s="1">
        <v>19</v>
      </c>
      <c r="B20" s="1" t="s">
        <v>311</v>
      </c>
      <c r="C20" s="1" t="s">
        <v>285</v>
      </c>
      <c r="D20" s="1" t="s">
        <v>234</v>
      </c>
      <c r="E20" s="1" t="s">
        <v>237</v>
      </c>
      <c r="F20" s="1"/>
      <c r="G20" s="1"/>
      <c r="H20" s="1"/>
      <c r="I20" s="1"/>
      <c r="J20" s="1"/>
      <c r="K20" s="1" t="str">
        <f t="shared" si="0"/>
        <v/>
      </c>
      <c r="L20" s="1" t="s">
        <v>304</v>
      </c>
    </row>
    <row r="21" spans="1:12" ht="38.25" x14ac:dyDescent="0.25">
      <c r="A21" s="1">
        <v>20</v>
      </c>
      <c r="B21" s="1" t="s">
        <v>312</v>
      </c>
      <c r="C21" s="1" t="s">
        <v>240</v>
      </c>
      <c r="D21" s="1" t="s">
        <v>234</v>
      </c>
      <c r="E21" s="1" t="s">
        <v>234</v>
      </c>
      <c r="F21" s="1" t="s">
        <v>234</v>
      </c>
      <c r="G21" s="1" t="s">
        <v>237</v>
      </c>
      <c r="H21" s="1" t="s">
        <v>274</v>
      </c>
      <c r="I21" s="1" t="s">
        <v>274</v>
      </c>
      <c r="J21" s="1" t="s">
        <v>234</v>
      </c>
      <c r="K21" s="1">
        <f t="shared" si="0"/>
        <v>2</v>
      </c>
      <c r="L21" s="1" t="s">
        <v>313</v>
      </c>
    </row>
    <row r="22" spans="1:12" ht="38.25" x14ac:dyDescent="0.25">
      <c r="A22" s="1">
        <v>21</v>
      </c>
      <c r="B22" s="1" t="s">
        <v>314</v>
      </c>
      <c r="C22" s="1" t="s">
        <v>285</v>
      </c>
      <c r="D22" s="1" t="s">
        <v>234</v>
      </c>
      <c r="E22" s="1" t="s">
        <v>237</v>
      </c>
      <c r="F22" s="1"/>
      <c r="G22" s="1"/>
      <c r="H22" s="1"/>
      <c r="I22" s="1"/>
      <c r="J22" s="1"/>
      <c r="K22" s="1" t="str">
        <f t="shared" si="0"/>
        <v/>
      </c>
      <c r="L22" s="1" t="s">
        <v>315</v>
      </c>
    </row>
    <row r="23" spans="1:12" ht="38.25" x14ac:dyDescent="0.25">
      <c r="A23" s="1">
        <v>22</v>
      </c>
      <c r="B23" s="1" t="s">
        <v>316</v>
      </c>
      <c r="C23" s="1" t="s">
        <v>285</v>
      </c>
      <c r="D23" s="1" t="s">
        <v>237</v>
      </c>
      <c r="E23" s="1" t="s">
        <v>237</v>
      </c>
      <c r="F23" s="1"/>
      <c r="G23" s="1"/>
      <c r="H23" s="1"/>
      <c r="I23" s="1"/>
      <c r="J23" s="1"/>
      <c r="K23" s="1" t="str">
        <f t="shared" si="0"/>
        <v/>
      </c>
      <c r="L23" s="1" t="s">
        <v>317</v>
      </c>
    </row>
    <row r="24" spans="1:12" ht="38.25" x14ac:dyDescent="0.25">
      <c r="A24" s="1">
        <v>23</v>
      </c>
      <c r="B24" s="1" t="s">
        <v>318</v>
      </c>
      <c r="C24" s="1" t="s">
        <v>240</v>
      </c>
      <c r="D24" s="1" t="s">
        <v>234</v>
      </c>
      <c r="E24" s="1" t="s">
        <v>234</v>
      </c>
      <c r="F24" s="1" t="s">
        <v>234</v>
      </c>
      <c r="G24" s="1" t="s">
        <v>237</v>
      </c>
      <c r="H24" s="1" t="s">
        <v>234</v>
      </c>
      <c r="I24" s="1" t="s">
        <v>237</v>
      </c>
      <c r="J24" s="1" t="s">
        <v>234</v>
      </c>
      <c r="K24" s="1">
        <f t="shared" si="0"/>
        <v>3</v>
      </c>
      <c r="L24" s="1" t="s">
        <v>319</v>
      </c>
    </row>
    <row r="25" spans="1:12" ht="38.25" x14ac:dyDescent="0.25">
      <c r="A25" s="1">
        <v>24</v>
      </c>
      <c r="B25" s="1" t="s">
        <v>320</v>
      </c>
      <c r="C25" s="1" t="s">
        <v>285</v>
      </c>
      <c r="D25" s="1" t="s">
        <v>234</v>
      </c>
      <c r="E25" s="1" t="s">
        <v>237</v>
      </c>
      <c r="F25" s="1"/>
      <c r="G25" s="1"/>
      <c r="H25" s="1"/>
      <c r="I25" s="1"/>
      <c r="J25" s="1"/>
      <c r="K25" s="1" t="str">
        <f t="shared" si="0"/>
        <v/>
      </c>
      <c r="L25" s="1" t="s">
        <v>321</v>
      </c>
    </row>
    <row r="26" spans="1:12" ht="38.25" x14ac:dyDescent="0.25">
      <c r="A26" s="1">
        <v>25</v>
      </c>
      <c r="B26" s="1" t="s">
        <v>322</v>
      </c>
      <c r="C26" s="1" t="s">
        <v>285</v>
      </c>
      <c r="D26" s="1" t="s">
        <v>234</v>
      </c>
      <c r="E26" s="1" t="s">
        <v>237</v>
      </c>
      <c r="F26" s="1"/>
      <c r="G26" s="1"/>
      <c r="H26" s="1"/>
      <c r="I26" s="1"/>
      <c r="J26" s="1"/>
      <c r="K26" s="1" t="str">
        <f t="shared" si="0"/>
        <v/>
      </c>
      <c r="L26" s="1" t="s">
        <v>323</v>
      </c>
    </row>
    <row r="27" spans="1:12" ht="38.25" x14ac:dyDescent="0.25">
      <c r="A27" s="1">
        <v>26</v>
      </c>
      <c r="B27" s="1" t="s">
        <v>324</v>
      </c>
      <c r="C27" s="1" t="s">
        <v>240</v>
      </c>
      <c r="D27" s="1" t="s">
        <v>234</v>
      </c>
      <c r="E27" s="1" t="s">
        <v>234</v>
      </c>
      <c r="F27" s="1" t="s">
        <v>234</v>
      </c>
      <c r="G27" s="1" t="s">
        <v>274</v>
      </c>
      <c r="H27" s="1" t="s">
        <v>234</v>
      </c>
      <c r="I27" s="1" t="s">
        <v>274</v>
      </c>
      <c r="J27" s="1" t="s">
        <v>234</v>
      </c>
      <c r="K27" s="1">
        <f t="shared" si="0"/>
        <v>3</v>
      </c>
      <c r="L27" s="1" t="s">
        <v>325</v>
      </c>
    </row>
    <row r="28" spans="1:12" ht="25.5" x14ac:dyDescent="0.25">
      <c r="A28" s="1">
        <v>27</v>
      </c>
      <c r="B28" s="1" t="s">
        <v>326</v>
      </c>
      <c r="C28" s="1" t="s">
        <v>221</v>
      </c>
      <c r="D28" s="1" t="s">
        <v>234</v>
      </c>
      <c r="E28" s="1" t="s">
        <v>234</v>
      </c>
      <c r="F28" s="1" t="s">
        <v>234</v>
      </c>
      <c r="G28" s="1" t="s">
        <v>234</v>
      </c>
      <c r="H28" s="1" t="s">
        <v>274</v>
      </c>
      <c r="I28" s="1" t="s">
        <v>234</v>
      </c>
      <c r="J28" s="1" t="s">
        <v>274</v>
      </c>
      <c r="K28" s="1">
        <f t="shared" si="0"/>
        <v>3</v>
      </c>
      <c r="L28" s="1" t="s">
        <v>327</v>
      </c>
    </row>
    <row r="29" spans="1:12" ht="25.5" x14ac:dyDescent="0.25">
      <c r="A29" s="1">
        <v>28</v>
      </c>
      <c r="B29" s="1" t="s">
        <v>328</v>
      </c>
      <c r="C29" s="1" t="s">
        <v>285</v>
      </c>
      <c r="D29" s="1" t="s">
        <v>234</v>
      </c>
      <c r="E29" s="1" t="s">
        <v>237</v>
      </c>
      <c r="F29" s="1"/>
      <c r="G29" s="1"/>
      <c r="H29" s="1"/>
      <c r="I29" s="1"/>
      <c r="J29" s="1"/>
      <c r="K29" s="1" t="str">
        <f t="shared" si="0"/>
        <v/>
      </c>
      <c r="L29" s="1" t="s">
        <v>329</v>
      </c>
    </row>
    <row r="30" spans="1:12" ht="38.25" x14ac:dyDescent="0.25">
      <c r="A30" s="1">
        <v>29</v>
      </c>
      <c r="B30" s="1" t="s">
        <v>330</v>
      </c>
      <c r="C30" s="1" t="s">
        <v>241</v>
      </c>
      <c r="D30" s="1" t="s">
        <v>234</v>
      </c>
      <c r="E30" s="1" t="s">
        <v>234</v>
      </c>
      <c r="F30" s="1" t="s">
        <v>274</v>
      </c>
      <c r="G30" s="1" t="s">
        <v>237</v>
      </c>
      <c r="H30" s="1" t="s">
        <v>234</v>
      </c>
      <c r="I30" s="1" t="s">
        <v>237</v>
      </c>
      <c r="J30" s="1" t="s">
        <v>234</v>
      </c>
      <c r="K30" s="1">
        <f t="shared" si="0"/>
        <v>2</v>
      </c>
      <c r="L30" s="1" t="s">
        <v>331</v>
      </c>
    </row>
    <row r="31" spans="1:12" ht="38.25" x14ac:dyDescent="0.25">
      <c r="A31" s="1">
        <v>30</v>
      </c>
      <c r="B31" s="1" t="s">
        <v>332</v>
      </c>
      <c r="C31" s="1" t="s">
        <v>240</v>
      </c>
      <c r="D31" s="1" t="s">
        <v>234</v>
      </c>
      <c r="E31" s="1" t="s">
        <v>234</v>
      </c>
      <c r="F31" s="1" t="s">
        <v>234</v>
      </c>
      <c r="G31" s="1" t="s">
        <v>274</v>
      </c>
      <c r="H31" s="1" t="s">
        <v>234</v>
      </c>
      <c r="I31" s="1" t="s">
        <v>234</v>
      </c>
      <c r="J31" s="1" t="s">
        <v>234</v>
      </c>
      <c r="K31" s="1">
        <f t="shared" si="0"/>
        <v>4</v>
      </c>
      <c r="L31" s="1" t="s">
        <v>333</v>
      </c>
    </row>
    <row r="32" spans="1:12" ht="25.5" x14ac:dyDescent="0.25">
      <c r="A32" s="1">
        <v>31</v>
      </c>
      <c r="B32" s="1" t="s">
        <v>334</v>
      </c>
      <c r="C32" s="1" t="s">
        <v>241</v>
      </c>
      <c r="D32" s="1" t="s">
        <v>234</v>
      </c>
      <c r="E32" s="1" t="s">
        <v>234</v>
      </c>
      <c r="F32" s="1" t="s">
        <v>274</v>
      </c>
      <c r="G32" s="1" t="s">
        <v>234</v>
      </c>
      <c r="H32" s="1" t="s">
        <v>234</v>
      </c>
      <c r="I32" s="1" t="s">
        <v>234</v>
      </c>
      <c r="J32" s="1" t="s">
        <v>234</v>
      </c>
      <c r="K32" s="1">
        <f t="shared" si="0"/>
        <v>4</v>
      </c>
      <c r="L32" s="1" t="s">
        <v>335</v>
      </c>
    </row>
    <row r="33" spans="1:12" ht="38.25" x14ac:dyDescent="0.25">
      <c r="A33" s="1">
        <v>32</v>
      </c>
      <c r="B33" s="1" t="s">
        <v>336</v>
      </c>
      <c r="C33" s="1" t="s">
        <v>240</v>
      </c>
      <c r="D33" s="1" t="s">
        <v>234</v>
      </c>
      <c r="E33" s="1" t="s">
        <v>234</v>
      </c>
      <c r="F33" s="1" t="s">
        <v>234</v>
      </c>
      <c r="G33" s="1" t="s">
        <v>237</v>
      </c>
      <c r="H33" s="1" t="s">
        <v>234</v>
      </c>
      <c r="I33" s="1" t="s">
        <v>274</v>
      </c>
      <c r="J33" s="1" t="s">
        <v>234</v>
      </c>
      <c r="K33" s="1">
        <f t="shared" si="0"/>
        <v>3</v>
      </c>
      <c r="L33" s="1" t="s">
        <v>337</v>
      </c>
    </row>
    <row r="34" spans="1:12" ht="25.5" x14ac:dyDescent="0.25">
      <c r="A34" s="1">
        <v>33</v>
      </c>
      <c r="B34" s="1" t="s">
        <v>338</v>
      </c>
      <c r="C34" s="1" t="s">
        <v>240</v>
      </c>
      <c r="D34" s="1" t="s">
        <v>234</v>
      </c>
      <c r="E34" s="1" t="s">
        <v>234</v>
      </c>
      <c r="F34" s="1" t="s">
        <v>234</v>
      </c>
      <c r="G34" s="1" t="s">
        <v>274</v>
      </c>
      <c r="H34" s="1" t="s">
        <v>237</v>
      </c>
      <c r="I34" s="1" t="s">
        <v>274</v>
      </c>
      <c r="J34" s="1" t="s">
        <v>234</v>
      </c>
      <c r="K34" s="1">
        <f t="shared" si="0"/>
        <v>2</v>
      </c>
      <c r="L34" s="1" t="s">
        <v>339</v>
      </c>
    </row>
    <row r="35" spans="1:12" ht="25.5" x14ac:dyDescent="0.25">
      <c r="A35" s="1">
        <v>34</v>
      </c>
      <c r="B35" s="1" t="s">
        <v>340</v>
      </c>
      <c r="C35" s="1" t="s">
        <v>241</v>
      </c>
      <c r="D35" s="1" t="s">
        <v>234</v>
      </c>
      <c r="E35" s="1" t="s">
        <v>234</v>
      </c>
      <c r="F35" s="1" t="s">
        <v>274</v>
      </c>
      <c r="G35" s="1" t="s">
        <v>237</v>
      </c>
      <c r="H35" s="1" t="s">
        <v>274</v>
      </c>
      <c r="I35" s="1" t="s">
        <v>237</v>
      </c>
      <c r="J35" s="1" t="s">
        <v>274</v>
      </c>
      <c r="K35" s="1">
        <f t="shared" si="0"/>
        <v>0</v>
      </c>
      <c r="L35" s="1" t="s">
        <v>341</v>
      </c>
    </row>
    <row r="36" spans="1:12" ht="51" x14ac:dyDescent="0.25">
      <c r="A36" s="1">
        <v>35</v>
      </c>
      <c r="B36" s="1" t="s">
        <v>342</v>
      </c>
      <c r="C36" s="1" t="s">
        <v>240</v>
      </c>
      <c r="D36" s="1" t="s">
        <v>234</v>
      </c>
      <c r="E36" s="1" t="s">
        <v>234</v>
      </c>
      <c r="F36" s="1" t="s">
        <v>234</v>
      </c>
      <c r="G36" s="1" t="s">
        <v>237</v>
      </c>
      <c r="H36" s="1" t="s">
        <v>234</v>
      </c>
      <c r="I36" s="1" t="s">
        <v>274</v>
      </c>
      <c r="J36" s="1" t="s">
        <v>234</v>
      </c>
      <c r="K36" s="1">
        <f t="shared" si="0"/>
        <v>3</v>
      </c>
      <c r="L36" s="1" t="s">
        <v>343</v>
      </c>
    </row>
    <row r="37" spans="1:12" ht="25.5" x14ac:dyDescent="0.25">
      <c r="A37" s="1">
        <v>36</v>
      </c>
      <c r="B37" s="1" t="s">
        <v>344</v>
      </c>
      <c r="C37" s="1" t="s">
        <v>240</v>
      </c>
      <c r="D37" s="1" t="s">
        <v>234</v>
      </c>
      <c r="E37" s="1" t="s">
        <v>234</v>
      </c>
      <c r="F37" s="1" t="s">
        <v>274</v>
      </c>
      <c r="G37" s="1" t="s">
        <v>274</v>
      </c>
      <c r="H37" s="1" t="s">
        <v>237</v>
      </c>
      <c r="I37" s="1" t="s">
        <v>237</v>
      </c>
      <c r="J37" s="1" t="s">
        <v>237</v>
      </c>
      <c r="K37" s="1">
        <f t="shared" si="0"/>
        <v>0</v>
      </c>
      <c r="L37" s="1" t="s">
        <v>345</v>
      </c>
    </row>
    <row r="38" spans="1:12" ht="25.5" x14ac:dyDescent="0.25">
      <c r="A38" s="1">
        <v>37</v>
      </c>
      <c r="B38" s="1" t="s">
        <v>346</v>
      </c>
      <c r="C38" s="1" t="s">
        <v>240</v>
      </c>
      <c r="D38" s="1" t="s">
        <v>234</v>
      </c>
      <c r="E38" s="1" t="s">
        <v>234</v>
      </c>
      <c r="F38" s="1" t="s">
        <v>237</v>
      </c>
      <c r="G38" s="1" t="s">
        <v>237</v>
      </c>
      <c r="H38" s="1" t="s">
        <v>237</v>
      </c>
      <c r="I38" s="1" t="s">
        <v>274</v>
      </c>
      <c r="J38" s="1" t="s">
        <v>234</v>
      </c>
      <c r="K38" s="1">
        <f t="shared" si="0"/>
        <v>1</v>
      </c>
      <c r="L38" s="1" t="s">
        <v>347</v>
      </c>
    </row>
    <row r="39" spans="1:12" ht="25.5" x14ac:dyDescent="0.25">
      <c r="A39" s="1">
        <v>38</v>
      </c>
      <c r="B39" s="1" t="s">
        <v>348</v>
      </c>
      <c r="C39" s="1" t="s">
        <v>241</v>
      </c>
      <c r="D39" s="1" t="s">
        <v>234</v>
      </c>
      <c r="E39" s="1" t="s">
        <v>234</v>
      </c>
      <c r="F39" s="1" t="s">
        <v>234</v>
      </c>
      <c r="G39" s="1" t="s">
        <v>237</v>
      </c>
      <c r="H39" s="1" t="s">
        <v>234</v>
      </c>
      <c r="I39" s="1" t="s">
        <v>237</v>
      </c>
      <c r="J39" s="1" t="s">
        <v>274</v>
      </c>
      <c r="K39" s="1">
        <f t="shared" si="0"/>
        <v>2</v>
      </c>
      <c r="L39" s="1" t="s">
        <v>349</v>
      </c>
    </row>
    <row r="40" spans="1:12" ht="38.25" x14ac:dyDescent="0.25">
      <c r="A40" s="1">
        <v>39</v>
      </c>
      <c r="B40" s="1" t="s">
        <v>350</v>
      </c>
      <c r="C40" s="1" t="s">
        <v>241</v>
      </c>
      <c r="D40" s="1" t="s">
        <v>234</v>
      </c>
      <c r="E40" s="1" t="s">
        <v>234</v>
      </c>
      <c r="F40" s="1" t="s">
        <v>237</v>
      </c>
      <c r="G40" s="1" t="s">
        <v>237</v>
      </c>
      <c r="H40" s="1" t="s">
        <v>274</v>
      </c>
      <c r="I40" s="1" t="s">
        <v>234</v>
      </c>
      <c r="J40" s="1" t="s">
        <v>274</v>
      </c>
      <c r="K40" s="1">
        <f t="shared" si="0"/>
        <v>1</v>
      </c>
      <c r="L40" s="1" t="s">
        <v>351</v>
      </c>
    </row>
    <row r="41" spans="1:12" ht="25.5" x14ac:dyDescent="0.25">
      <c r="A41" s="1">
        <v>40</v>
      </c>
      <c r="B41" s="1" t="s">
        <v>352</v>
      </c>
      <c r="C41" s="1" t="s">
        <v>285</v>
      </c>
      <c r="D41" s="1" t="s">
        <v>234</v>
      </c>
      <c r="E41" s="1" t="s">
        <v>237</v>
      </c>
      <c r="F41" s="1"/>
      <c r="G41" s="1"/>
      <c r="H41" s="1"/>
      <c r="I41" s="1"/>
      <c r="J41" s="1"/>
      <c r="K41" s="1" t="str">
        <f t="shared" si="0"/>
        <v/>
      </c>
      <c r="L41" s="1" t="s">
        <v>353</v>
      </c>
    </row>
    <row r="42" spans="1:12" ht="25.5" x14ac:dyDescent="0.25">
      <c r="A42" s="1">
        <v>41</v>
      </c>
      <c r="B42" s="1" t="s">
        <v>354</v>
      </c>
      <c r="C42" s="1" t="s">
        <v>285</v>
      </c>
      <c r="D42" s="1" t="s">
        <v>234</v>
      </c>
      <c r="E42" s="1" t="s">
        <v>237</v>
      </c>
      <c r="F42" s="1"/>
      <c r="G42" s="1"/>
      <c r="H42" s="1"/>
      <c r="I42" s="1"/>
      <c r="J42" s="1"/>
      <c r="K42" s="1" t="str">
        <f t="shared" si="0"/>
        <v/>
      </c>
      <c r="L42" s="1" t="s">
        <v>355</v>
      </c>
    </row>
    <row r="43" spans="1:12" ht="25.5" x14ac:dyDescent="0.25">
      <c r="A43" s="1">
        <v>42</v>
      </c>
      <c r="B43" s="1" t="s">
        <v>356</v>
      </c>
      <c r="C43" s="1" t="s">
        <v>240</v>
      </c>
      <c r="D43" s="1" t="s">
        <v>234</v>
      </c>
      <c r="E43" s="1" t="s">
        <v>234</v>
      </c>
      <c r="F43" s="1" t="s">
        <v>234</v>
      </c>
      <c r="G43" s="1" t="s">
        <v>274</v>
      </c>
      <c r="H43" s="1" t="s">
        <v>274</v>
      </c>
      <c r="I43" s="1" t="s">
        <v>274</v>
      </c>
      <c r="J43" s="1" t="s">
        <v>234</v>
      </c>
      <c r="K43" s="1">
        <f t="shared" si="0"/>
        <v>2</v>
      </c>
      <c r="L43" s="1" t="s">
        <v>357</v>
      </c>
    </row>
    <row r="44" spans="1:12" ht="38.25" x14ac:dyDescent="0.25">
      <c r="A44" s="1">
        <v>43</v>
      </c>
      <c r="B44" s="1" t="s">
        <v>358</v>
      </c>
      <c r="C44" s="1" t="s">
        <v>240</v>
      </c>
      <c r="D44" s="1" t="s">
        <v>234</v>
      </c>
      <c r="E44" s="1" t="s">
        <v>234</v>
      </c>
      <c r="F44" s="1" t="s">
        <v>234</v>
      </c>
      <c r="G44" s="1" t="s">
        <v>274</v>
      </c>
      <c r="H44" s="1" t="s">
        <v>274</v>
      </c>
      <c r="I44" s="1" t="s">
        <v>274</v>
      </c>
      <c r="J44" s="1" t="s">
        <v>234</v>
      </c>
      <c r="K44" s="1">
        <f t="shared" si="0"/>
        <v>2</v>
      </c>
      <c r="L44" s="1" t="s">
        <v>359</v>
      </c>
    </row>
    <row r="45" spans="1:12" ht="25.5" x14ac:dyDescent="0.25">
      <c r="A45" s="1">
        <v>44</v>
      </c>
      <c r="B45" s="1" t="s">
        <v>360</v>
      </c>
      <c r="C45" s="1" t="s">
        <v>285</v>
      </c>
      <c r="D45" s="1" t="s">
        <v>234</v>
      </c>
      <c r="E45" s="1" t="s">
        <v>237</v>
      </c>
      <c r="F45" s="1"/>
      <c r="G45" s="1"/>
      <c r="H45" s="1"/>
      <c r="I45" s="1"/>
      <c r="J45" s="1"/>
      <c r="K45" s="1" t="str">
        <f t="shared" si="0"/>
        <v/>
      </c>
      <c r="L45" s="1" t="s">
        <v>361</v>
      </c>
    </row>
    <row r="46" spans="1:12" ht="25.5" x14ac:dyDescent="0.25">
      <c r="A46" s="1">
        <v>45</v>
      </c>
      <c r="B46" s="1" t="s">
        <v>362</v>
      </c>
      <c r="C46" s="1" t="s">
        <v>241</v>
      </c>
      <c r="D46" s="1" t="s">
        <v>234</v>
      </c>
      <c r="E46" s="1" t="s">
        <v>234</v>
      </c>
      <c r="F46" s="1" t="s">
        <v>274</v>
      </c>
      <c r="G46" s="1" t="s">
        <v>274</v>
      </c>
      <c r="H46" s="1" t="s">
        <v>274</v>
      </c>
      <c r="I46" s="1" t="s">
        <v>237</v>
      </c>
      <c r="J46" s="1" t="s">
        <v>274</v>
      </c>
      <c r="K46" s="1">
        <f t="shared" si="0"/>
        <v>0</v>
      </c>
      <c r="L46" s="1" t="s">
        <v>363</v>
      </c>
    </row>
    <row r="62" spans="1:10" x14ac:dyDescent="0.25">
      <c r="A62" s="13" t="s">
        <v>364</v>
      </c>
    </row>
    <row r="63" spans="1:10" ht="89.25" x14ac:dyDescent="0.25">
      <c r="A63" s="11" t="s">
        <v>221</v>
      </c>
      <c r="F63" s="1" t="s">
        <v>365</v>
      </c>
      <c r="G63" s="1" t="s">
        <v>366</v>
      </c>
      <c r="H63" s="1" t="s">
        <v>367</v>
      </c>
      <c r="I63" s="1" t="s">
        <v>368</v>
      </c>
      <c r="J63" s="1" t="s">
        <v>369</v>
      </c>
    </row>
    <row r="64" spans="1:10" ht="63.75" x14ac:dyDescent="0.25">
      <c r="A64" s="11" t="s">
        <v>243</v>
      </c>
      <c r="F64" s="1" t="s">
        <v>370</v>
      </c>
      <c r="G64" s="1" t="s">
        <v>371</v>
      </c>
      <c r="H64" s="1" t="s">
        <v>372</v>
      </c>
      <c r="I64" s="1" t="s">
        <v>373</v>
      </c>
      <c r="J64" s="1" t="s">
        <v>374</v>
      </c>
    </row>
    <row r="65" spans="1:10" ht="114.75" x14ac:dyDescent="0.25">
      <c r="A65" s="11" t="s">
        <v>241</v>
      </c>
      <c r="F65" s="1" t="s">
        <v>375</v>
      </c>
      <c r="G65" s="1" t="s">
        <v>376</v>
      </c>
      <c r="H65" s="1" t="s">
        <v>377</v>
      </c>
      <c r="I65" s="1" t="s">
        <v>378</v>
      </c>
      <c r="J65" s="1" t="s">
        <v>379</v>
      </c>
    </row>
    <row r="66" spans="1:10" ht="89.25" x14ac:dyDescent="0.25">
      <c r="A66" s="11" t="s">
        <v>240</v>
      </c>
      <c r="F66" s="1" t="s">
        <v>380</v>
      </c>
      <c r="G66" s="1" t="s">
        <v>381</v>
      </c>
      <c r="H66" s="1" t="s">
        <v>382</v>
      </c>
      <c r="I66" s="1" t="s">
        <v>383</v>
      </c>
      <c r="J66" s="1" t="s">
        <v>384</v>
      </c>
    </row>
    <row r="67" spans="1:10" ht="76.5" x14ac:dyDescent="0.25">
      <c r="A67" s="11" t="s">
        <v>242</v>
      </c>
      <c r="F67" s="1" t="s">
        <v>385</v>
      </c>
      <c r="G67" s="1" t="s">
        <v>386</v>
      </c>
      <c r="H67" s="1" t="s">
        <v>387</v>
      </c>
      <c r="I67" s="1" t="s">
        <v>388</v>
      </c>
      <c r="J67" s="1" t="s">
        <v>389</v>
      </c>
    </row>
  </sheetData>
  <dataValidations count="1">
    <dataValidation type="list" allowBlank="1" sqref="D2:J60" xr:uid="{00000000-0002-0000-0300-000000000000}">
      <formula1>"Yes,No,Can't tell"</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V46"/>
  <sheetViews>
    <sheetView topLeftCell="AE1" zoomScale="85" zoomScaleNormal="85" workbookViewId="0">
      <pane xSplit="4" ySplit="1" topLeftCell="AI2" activePane="bottomRight" state="frozen"/>
      <selection activeCell="AE1" sqref="AE1"/>
      <selection pane="topRight" activeCell="G1" sqref="G1"/>
      <selection pane="bottomLeft" activeCell="AE2" sqref="AE2"/>
      <selection pane="bottomRight" activeCell="AL2" sqref="AL2"/>
    </sheetView>
  </sheetViews>
  <sheetFormatPr defaultColWidth="8.7109375" defaultRowHeight="15" x14ac:dyDescent="0.25"/>
  <cols>
    <col min="31" max="31" width="22.140625" customWidth="1"/>
    <col min="32" max="32" width="24.5703125" customWidth="1"/>
    <col min="33" max="33" width="22.7109375" customWidth="1"/>
    <col min="34" max="34" width="27.42578125" customWidth="1"/>
    <col min="35" max="37" width="1.7109375" customWidth="1"/>
    <col min="44" max="44" width="16" customWidth="1"/>
    <col min="45" max="45" width="14" customWidth="1"/>
    <col min="46" max="46" width="20" customWidth="1"/>
    <col min="47" max="47" width="22" customWidth="1"/>
    <col min="48" max="49" width="26" customWidth="1"/>
    <col min="50" max="50" width="14" customWidth="1"/>
    <col min="51" max="51" width="18" customWidth="1"/>
    <col min="52" max="52" width="24" customWidth="1"/>
    <col min="53" max="53" width="20" customWidth="1"/>
    <col min="54" max="56" width="11" customWidth="1"/>
    <col min="57" max="57" width="32" customWidth="1"/>
    <col min="58" max="58" width="20" customWidth="1"/>
    <col min="59" max="59" width="16" customWidth="1"/>
    <col min="60" max="60" width="28" customWidth="1"/>
    <col min="61" max="61" width="12" customWidth="1"/>
    <col min="62" max="62" width="24" customWidth="1"/>
    <col min="63" max="64" width="22" customWidth="1"/>
    <col min="65" max="65" width="16" customWidth="1"/>
    <col min="66" max="66" width="18" customWidth="1"/>
    <col min="67" max="67" width="10" customWidth="1"/>
    <col min="68" max="68" width="14" customWidth="1"/>
    <col min="69" max="69" width="24" customWidth="1"/>
    <col min="70" max="70" width="22" customWidth="1"/>
    <col min="71" max="71" width="14" customWidth="1"/>
    <col min="72" max="72" width="30" customWidth="1"/>
    <col min="73" max="73" width="18" customWidth="1"/>
    <col min="74" max="74" width="38" customWidth="1"/>
  </cols>
  <sheetData>
    <row r="1" spans="1:74" ht="45" customHeight="1" x14ac:dyDescent="0.25">
      <c r="A1" s="15" t="s">
        <v>261</v>
      </c>
      <c r="B1" s="15"/>
      <c r="C1" s="15" t="s">
        <v>390</v>
      </c>
      <c r="D1" s="15" t="s">
        <v>391</v>
      </c>
      <c r="E1" s="15" t="s">
        <v>392</v>
      </c>
      <c r="F1" s="15" t="s">
        <v>262</v>
      </c>
      <c r="G1" s="15" t="s">
        <v>202</v>
      </c>
      <c r="H1" s="15" t="s">
        <v>393</v>
      </c>
      <c r="I1" s="15" t="s">
        <v>394</v>
      </c>
      <c r="J1" s="15" t="s">
        <v>395</v>
      </c>
      <c r="K1" s="15" t="s">
        <v>396</v>
      </c>
      <c r="L1" s="15" t="s">
        <v>397</v>
      </c>
      <c r="M1" s="15" t="s">
        <v>398</v>
      </c>
      <c r="N1" s="15" t="s">
        <v>399</v>
      </c>
      <c r="O1" s="15" t="s">
        <v>400</v>
      </c>
      <c r="P1" s="15" t="s">
        <v>401</v>
      </c>
      <c r="Q1" s="15" t="s">
        <v>402</v>
      </c>
      <c r="R1" s="15" t="s">
        <v>403</v>
      </c>
      <c r="S1" s="15" t="s">
        <v>404</v>
      </c>
      <c r="T1" s="15" t="s">
        <v>405</v>
      </c>
      <c r="U1" s="15" t="s">
        <v>406</v>
      </c>
      <c r="V1" s="15" t="s">
        <v>407</v>
      </c>
      <c r="W1" s="16" t="s">
        <v>408</v>
      </c>
      <c r="X1" s="16" t="s">
        <v>409</v>
      </c>
      <c r="Y1" s="17" t="s">
        <v>410</v>
      </c>
      <c r="Z1" s="17" t="s">
        <v>411</v>
      </c>
      <c r="AA1" s="17" t="s">
        <v>412</v>
      </c>
      <c r="AB1" s="17" t="s">
        <v>413</v>
      </c>
      <c r="AC1" s="17" t="s">
        <v>414</v>
      </c>
      <c r="AD1" s="17" t="s">
        <v>415</v>
      </c>
      <c r="AE1" s="17" t="s">
        <v>416</v>
      </c>
      <c r="AF1" s="17" t="s">
        <v>417</v>
      </c>
      <c r="AG1" s="17" t="s">
        <v>416</v>
      </c>
      <c r="AH1" s="17" t="s">
        <v>418</v>
      </c>
      <c r="AI1" s="17"/>
      <c r="AJ1" s="17"/>
      <c r="AK1" s="17"/>
      <c r="AL1" s="17" t="s">
        <v>419</v>
      </c>
      <c r="AM1" s="17" t="s">
        <v>420</v>
      </c>
      <c r="AN1" s="17" t="s">
        <v>413</v>
      </c>
      <c r="AO1" s="17" t="s">
        <v>421</v>
      </c>
      <c r="AP1" s="17" t="s">
        <v>422</v>
      </c>
      <c r="AQ1" s="17" t="s">
        <v>423</v>
      </c>
      <c r="AR1" s="18" t="s">
        <v>424</v>
      </c>
      <c r="AS1" s="18" t="s">
        <v>425</v>
      </c>
      <c r="AT1" s="18" t="s">
        <v>426</v>
      </c>
      <c r="AU1" s="18" t="s">
        <v>427</v>
      </c>
      <c r="AV1" s="18" t="s">
        <v>428</v>
      </c>
      <c r="AW1" s="18" t="s">
        <v>429</v>
      </c>
      <c r="AX1" s="19" t="s">
        <v>430</v>
      </c>
      <c r="AY1" s="19" t="s">
        <v>431</v>
      </c>
      <c r="AZ1" s="19" t="s">
        <v>432</v>
      </c>
      <c r="BA1" s="19" t="s">
        <v>433</v>
      </c>
      <c r="BB1" s="19" t="s">
        <v>434</v>
      </c>
      <c r="BC1" s="19" t="s">
        <v>435</v>
      </c>
      <c r="BD1" s="19" t="s">
        <v>436</v>
      </c>
      <c r="BE1" s="19" t="s">
        <v>437</v>
      </c>
      <c r="BF1" s="19" t="s">
        <v>438</v>
      </c>
      <c r="BG1" s="19" t="s">
        <v>439</v>
      </c>
      <c r="BH1" s="19" t="s">
        <v>440</v>
      </c>
      <c r="BI1" s="19" t="s">
        <v>441</v>
      </c>
      <c r="BJ1" s="20" t="s">
        <v>442</v>
      </c>
      <c r="BK1" s="20" t="s">
        <v>443</v>
      </c>
      <c r="BL1" s="20" t="s">
        <v>444</v>
      </c>
      <c r="BM1" s="20" t="s">
        <v>445</v>
      </c>
      <c r="BN1" s="20" t="s">
        <v>446</v>
      </c>
      <c r="BO1" s="20" t="s">
        <v>447</v>
      </c>
      <c r="BP1" s="20" t="s">
        <v>448</v>
      </c>
      <c r="BQ1" s="20" t="s">
        <v>449</v>
      </c>
      <c r="BR1" s="20" t="s">
        <v>450</v>
      </c>
      <c r="BS1" s="21" t="s">
        <v>451</v>
      </c>
      <c r="BT1" s="21" t="s">
        <v>452</v>
      </c>
      <c r="BU1" s="21" t="s">
        <v>453</v>
      </c>
      <c r="BV1" s="21" t="s">
        <v>454</v>
      </c>
    </row>
    <row r="2" spans="1:74" ht="42.75" customHeight="1" x14ac:dyDescent="0.25">
      <c r="A2" s="22">
        <v>1</v>
      </c>
      <c r="B2" s="22"/>
      <c r="C2" s="22" t="s">
        <v>455</v>
      </c>
      <c r="D2" s="22" t="s">
        <v>456</v>
      </c>
      <c r="E2" s="22" t="s">
        <v>457</v>
      </c>
      <c r="F2" s="22" t="s">
        <v>273</v>
      </c>
      <c r="G2" s="22">
        <v>2024</v>
      </c>
      <c r="H2" s="22" t="s">
        <v>458</v>
      </c>
      <c r="I2" s="22">
        <v>0</v>
      </c>
      <c r="J2" s="22" t="s">
        <v>459</v>
      </c>
      <c r="K2" s="23" t="s">
        <v>460</v>
      </c>
      <c r="L2" s="22" t="s">
        <v>461</v>
      </c>
      <c r="M2" s="22" t="s">
        <v>462</v>
      </c>
      <c r="N2" s="22" t="s">
        <v>463</v>
      </c>
      <c r="O2" s="22" t="s">
        <v>464</v>
      </c>
      <c r="P2" s="22" t="s">
        <v>465</v>
      </c>
      <c r="Q2" s="22" t="s">
        <v>466</v>
      </c>
      <c r="R2" s="22" t="s">
        <v>467</v>
      </c>
      <c r="S2" s="22" t="s">
        <v>468</v>
      </c>
      <c r="T2" s="22" t="s">
        <v>469</v>
      </c>
      <c r="U2" s="22"/>
      <c r="V2" s="22" t="s">
        <v>470</v>
      </c>
      <c r="W2" s="22" t="s">
        <v>471</v>
      </c>
      <c r="X2" s="22" t="s">
        <v>472</v>
      </c>
      <c r="Y2" s="22" t="s">
        <v>473</v>
      </c>
      <c r="Z2" s="22" t="s">
        <v>474</v>
      </c>
      <c r="AA2" s="24" t="s">
        <v>475</v>
      </c>
      <c r="AB2" s="22"/>
      <c r="AC2" s="22" t="s">
        <v>476</v>
      </c>
      <c r="AD2" s="25" t="s">
        <v>477</v>
      </c>
      <c r="AE2" s="22" t="s">
        <v>478</v>
      </c>
      <c r="AF2" s="25" t="s">
        <v>479</v>
      </c>
      <c r="AG2" s="25" t="s">
        <v>480</v>
      </c>
      <c r="AH2" s="25" t="s">
        <v>481</v>
      </c>
      <c r="AI2" s="25"/>
      <c r="AJ2" s="25"/>
      <c r="AK2" s="25"/>
      <c r="AL2" s="22" t="s">
        <v>482</v>
      </c>
      <c r="AM2" s="22" t="s">
        <v>474</v>
      </c>
      <c r="AN2" s="22" t="s">
        <v>476</v>
      </c>
      <c r="AO2" s="22" t="s">
        <v>475</v>
      </c>
      <c r="AP2" s="22"/>
      <c r="AQ2" s="22"/>
      <c r="AR2" s="1" t="s">
        <v>155</v>
      </c>
      <c r="AS2" s="1" t="s">
        <v>144</v>
      </c>
      <c r="AT2" s="1" t="s">
        <v>117</v>
      </c>
      <c r="AU2" s="1" t="s">
        <v>483</v>
      </c>
      <c r="AV2" s="1" t="s">
        <v>138</v>
      </c>
      <c r="AW2" s="1" t="s">
        <v>484</v>
      </c>
      <c r="AX2" s="1" t="s">
        <v>187</v>
      </c>
      <c r="AY2" s="1" t="s">
        <v>125</v>
      </c>
      <c r="AZ2" s="1" t="s">
        <v>485</v>
      </c>
      <c r="BA2" s="1" t="s">
        <v>223</v>
      </c>
      <c r="BB2" s="1" t="s">
        <v>486</v>
      </c>
      <c r="BC2" s="1" t="s">
        <v>486</v>
      </c>
      <c r="BD2" s="1" t="s">
        <v>486</v>
      </c>
      <c r="BE2" s="1" t="s">
        <v>487</v>
      </c>
      <c r="BF2" s="1" t="s">
        <v>231</v>
      </c>
      <c r="BG2" s="1" t="s">
        <v>122</v>
      </c>
      <c r="BH2" s="1" t="s">
        <v>488</v>
      </c>
      <c r="BI2" s="1" t="s">
        <v>235</v>
      </c>
      <c r="BJ2" s="1" t="s">
        <v>489</v>
      </c>
      <c r="BK2" s="1" t="s">
        <v>215</v>
      </c>
      <c r="BL2" s="1" t="s">
        <v>240</v>
      </c>
      <c r="BM2" s="1" t="s">
        <v>490</v>
      </c>
      <c r="BN2" s="1" t="s">
        <v>491</v>
      </c>
      <c r="BO2" s="26">
        <f>IF(COUNTIF('MMAT Appraisal'!$A$2:$A$60,A2)=0,"",INDEX('MMAT Appraisal'!$K$2:$K$60,MATCH(A2,'MMAT Appraisal'!$A$2:$A$60,0)))</f>
        <v>2</v>
      </c>
      <c r="BP2" s="1" t="str">
        <f t="shared" ref="BP2:BP46" si="0">IF(OR(BF2="No empirical data",ISNUMBER(SEARCH("RETRACTED",BV2))),"Not rated",IF(AND(ISNUMBER(BO2),BO2&lt;=2),"Low",IF(AND(OR(BJ2="RCT",BJ2="Quasi-experimental with control"),LEFT(BF2,11)="Inferential",OR(BI2="Yes",BI2="Partly"),OR(BO2="",BO2&gt;=4)),"High",IF(OR(BA2&lt;&gt;"None",LEFT(BF2,11)="Inferential"),"Moderate","Low"))))</f>
        <v>Low</v>
      </c>
      <c r="BQ2" s="1" t="s">
        <v>122</v>
      </c>
      <c r="BR2" s="1" t="s">
        <v>122</v>
      </c>
      <c r="BS2" s="1" t="s">
        <v>492</v>
      </c>
      <c r="BT2" s="1" t="s">
        <v>493</v>
      </c>
      <c r="BU2" s="1" t="s">
        <v>494</v>
      </c>
      <c r="BV2" s="1" t="s">
        <v>495</v>
      </c>
    </row>
    <row r="3" spans="1:74" ht="128.25" customHeight="1" x14ac:dyDescent="0.25">
      <c r="A3" s="22">
        <v>2</v>
      </c>
      <c r="B3" s="22"/>
      <c r="C3" s="22" t="s">
        <v>496</v>
      </c>
      <c r="D3" s="22" t="s">
        <v>497</v>
      </c>
      <c r="E3" s="22">
        <v>37461088800</v>
      </c>
      <c r="F3" s="22" t="s">
        <v>276</v>
      </c>
      <c r="G3" s="22">
        <v>2024</v>
      </c>
      <c r="H3" s="22" t="s">
        <v>498</v>
      </c>
      <c r="I3" s="22">
        <v>6</v>
      </c>
      <c r="J3" s="22" t="s">
        <v>499</v>
      </c>
      <c r="K3" s="23" t="s">
        <v>500</v>
      </c>
      <c r="L3" s="22" t="s">
        <v>501</v>
      </c>
      <c r="M3" s="22" t="s">
        <v>502</v>
      </c>
      <c r="N3" s="22" t="s">
        <v>503</v>
      </c>
      <c r="O3" s="22" t="s">
        <v>504</v>
      </c>
      <c r="P3" s="22"/>
      <c r="Q3" s="22" t="s">
        <v>505</v>
      </c>
      <c r="R3" s="22" t="s">
        <v>467</v>
      </c>
      <c r="S3" s="22" t="s">
        <v>506</v>
      </c>
      <c r="T3" s="22" t="s">
        <v>469</v>
      </c>
      <c r="U3" s="22"/>
      <c r="V3" s="22" t="s">
        <v>470</v>
      </c>
      <c r="W3" s="22" t="s">
        <v>471</v>
      </c>
      <c r="X3" s="22" t="s">
        <v>472</v>
      </c>
      <c r="Y3" s="22" t="s">
        <v>473</v>
      </c>
      <c r="Z3" s="22" t="s">
        <v>474</v>
      </c>
      <c r="AA3" s="24" t="s">
        <v>475</v>
      </c>
      <c r="AB3" s="22"/>
      <c r="AC3" s="22" t="s">
        <v>476</v>
      </c>
      <c r="AD3" s="25" t="s">
        <v>507</v>
      </c>
      <c r="AE3" s="25" t="s">
        <v>508</v>
      </c>
      <c r="AF3" s="25" t="s">
        <v>509</v>
      </c>
      <c r="AG3" s="25" t="s">
        <v>510</v>
      </c>
      <c r="AH3" s="25" t="s">
        <v>511</v>
      </c>
      <c r="AI3" s="25"/>
      <c r="AJ3" s="25"/>
      <c r="AK3" s="25"/>
      <c r="AL3" s="22" t="s">
        <v>512</v>
      </c>
      <c r="AM3" s="22" t="s">
        <v>513</v>
      </c>
      <c r="AN3" s="22" t="s">
        <v>476</v>
      </c>
      <c r="AO3" s="22" t="s">
        <v>514</v>
      </c>
      <c r="AP3" s="22"/>
      <c r="AQ3" s="22"/>
      <c r="AR3" s="1" t="s">
        <v>159</v>
      </c>
      <c r="AS3" s="1" t="s">
        <v>144</v>
      </c>
      <c r="AT3" s="1" t="s">
        <v>115</v>
      </c>
      <c r="AU3" s="1" t="s">
        <v>515</v>
      </c>
      <c r="AV3" s="1" t="s">
        <v>138</v>
      </c>
      <c r="AW3" s="1" t="s">
        <v>516</v>
      </c>
      <c r="AX3" s="1" t="s">
        <v>187</v>
      </c>
      <c r="AY3" s="1" t="s">
        <v>125</v>
      </c>
      <c r="AZ3" s="1" t="s">
        <v>517</v>
      </c>
      <c r="BA3" s="1" t="s">
        <v>223</v>
      </c>
      <c r="BB3" s="1" t="s">
        <v>94</v>
      </c>
      <c r="BC3" s="1" t="s">
        <v>94</v>
      </c>
      <c r="BD3" s="1" t="s">
        <v>486</v>
      </c>
      <c r="BE3" s="1" t="s">
        <v>518</v>
      </c>
      <c r="BF3" s="1" t="s">
        <v>230</v>
      </c>
      <c r="BG3" s="1" t="s">
        <v>519</v>
      </c>
      <c r="BH3" s="1" t="s">
        <v>520</v>
      </c>
      <c r="BI3" s="1" t="s">
        <v>235</v>
      </c>
      <c r="BJ3" s="1" t="s">
        <v>521</v>
      </c>
      <c r="BK3" s="1" t="s">
        <v>217</v>
      </c>
      <c r="BL3" s="1" t="s">
        <v>240</v>
      </c>
      <c r="BM3" s="1" t="s">
        <v>522</v>
      </c>
      <c r="BN3" s="1" t="s">
        <v>523</v>
      </c>
      <c r="BO3" s="26">
        <f>IF(COUNTIF('MMAT Appraisal'!$A$2:$A$60,A3)=0,"",INDEX('MMAT Appraisal'!$K$2:$K$60,MATCH(A3,'MMAT Appraisal'!$A$2:$A$60,0)))</f>
        <v>3</v>
      </c>
      <c r="BP3" s="1" t="str">
        <f t="shared" si="0"/>
        <v>Moderate</v>
      </c>
      <c r="BQ3" s="1" t="s">
        <v>524</v>
      </c>
      <c r="BR3" s="1" t="s">
        <v>257</v>
      </c>
      <c r="BS3" s="1" t="s">
        <v>525</v>
      </c>
      <c r="BT3" s="1" t="s">
        <v>526</v>
      </c>
      <c r="BU3" s="1" t="s">
        <v>494</v>
      </c>
      <c r="BV3" s="1" t="s">
        <v>527</v>
      </c>
    </row>
    <row r="4" spans="1:74" ht="226.5" customHeight="1" x14ac:dyDescent="0.25">
      <c r="A4" s="22">
        <v>3</v>
      </c>
      <c r="B4" s="22"/>
      <c r="C4" s="22" t="s">
        <v>528</v>
      </c>
      <c r="D4" s="22" t="s">
        <v>529</v>
      </c>
      <c r="E4" s="22" t="s">
        <v>530</v>
      </c>
      <c r="F4" s="22" t="s">
        <v>278</v>
      </c>
      <c r="G4" s="22">
        <v>2024</v>
      </c>
      <c r="H4" s="22" t="s">
        <v>531</v>
      </c>
      <c r="I4" s="22">
        <v>1</v>
      </c>
      <c r="J4" s="22" t="s">
        <v>532</v>
      </c>
      <c r="K4" s="23" t="s">
        <v>533</v>
      </c>
      <c r="L4" s="22" t="s">
        <v>534</v>
      </c>
      <c r="M4" s="22" t="s">
        <v>535</v>
      </c>
      <c r="N4" s="22" t="s">
        <v>536</v>
      </c>
      <c r="O4" s="22" t="s">
        <v>537</v>
      </c>
      <c r="P4" s="22" t="s">
        <v>538</v>
      </c>
      <c r="Q4" s="22" t="s">
        <v>505</v>
      </c>
      <c r="R4" s="22" t="s">
        <v>467</v>
      </c>
      <c r="S4" s="22" t="s">
        <v>506</v>
      </c>
      <c r="T4" s="22" t="s">
        <v>469</v>
      </c>
      <c r="U4" s="22"/>
      <c r="V4" s="22" t="s">
        <v>470</v>
      </c>
      <c r="W4" s="22" t="s">
        <v>471</v>
      </c>
      <c r="X4" s="22" t="s">
        <v>472</v>
      </c>
      <c r="Y4" s="22" t="s">
        <v>473</v>
      </c>
      <c r="Z4" s="22" t="s">
        <v>474</v>
      </c>
      <c r="AA4" s="24" t="s">
        <v>475</v>
      </c>
      <c r="AB4" s="22"/>
      <c r="AC4" s="22" t="s">
        <v>476</v>
      </c>
      <c r="AD4" s="25" t="s">
        <v>539</v>
      </c>
      <c r="AE4" s="25" t="s">
        <v>540</v>
      </c>
      <c r="AF4" s="25" t="s">
        <v>541</v>
      </c>
      <c r="AG4" s="25" t="s">
        <v>542</v>
      </c>
      <c r="AH4" s="25" t="s">
        <v>543</v>
      </c>
      <c r="AI4" s="25"/>
      <c r="AJ4" s="25"/>
      <c r="AK4" s="25"/>
      <c r="AL4" s="22" t="s">
        <v>512</v>
      </c>
      <c r="AM4" s="22" t="s">
        <v>475</v>
      </c>
      <c r="AN4" s="22" t="s">
        <v>476</v>
      </c>
      <c r="AO4" s="22" t="s">
        <v>474</v>
      </c>
      <c r="AP4" s="22"/>
      <c r="AQ4" s="22"/>
      <c r="AR4" s="1" t="s">
        <v>156</v>
      </c>
      <c r="AS4" s="1" t="s">
        <v>144</v>
      </c>
      <c r="AT4" s="1" t="s">
        <v>120</v>
      </c>
      <c r="AU4" s="1" t="s">
        <v>544</v>
      </c>
      <c r="AV4" s="1" t="s">
        <v>137</v>
      </c>
      <c r="AW4" s="1" t="s">
        <v>545</v>
      </c>
      <c r="AX4" s="1" t="s">
        <v>188</v>
      </c>
      <c r="AY4" s="1" t="s">
        <v>126</v>
      </c>
      <c r="AZ4" s="1" t="s">
        <v>546</v>
      </c>
      <c r="BA4" s="1" t="s">
        <v>223</v>
      </c>
      <c r="BB4" s="1" t="s">
        <v>486</v>
      </c>
      <c r="BC4" s="1" t="s">
        <v>486</v>
      </c>
      <c r="BD4" s="1" t="s">
        <v>94</v>
      </c>
      <c r="BE4" s="1" t="s">
        <v>547</v>
      </c>
      <c r="BF4" s="1" t="s">
        <v>231</v>
      </c>
      <c r="BG4" s="1" t="s">
        <v>122</v>
      </c>
      <c r="BH4" s="1" t="s">
        <v>548</v>
      </c>
      <c r="BI4" s="1" t="s">
        <v>236</v>
      </c>
      <c r="BJ4" s="1" t="s">
        <v>489</v>
      </c>
      <c r="BK4" s="1" t="s">
        <v>215</v>
      </c>
      <c r="BL4" s="1" t="s">
        <v>240</v>
      </c>
      <c r="BM4" s="1" t="s">
        <v>549</v>
      </c>
      <c r="BN4" s="1" t="s">
        <v>550</v>
      </c>
      <c r="BO4" s="26">
        <f>IF(COUNTIF('MMAT Appraisal'!$A$2:$A$60,A4)=0,"",INDEX('MMAT Appraisal'!$K$2:$K$60,MATCH(A4,'MMAT Appraisal'!$A$2:$A$60,0)))</f>
        <v>1</v>
      </c>
      <c r="BP4" s="1" t="str">
        <f t="shared" si="0"/>
        <v>Low</v>
      </c>
      <c r="BQ4" s="1" t="s">
        <v>551</v>
      </c>
      <c r="BR4" s="1" t="s">
        <v>259</v>
      </c>
      <c r="BS4" s="1" t="s">
        <v>525</v>
      </c>
      <c r="BT4" s="1" t="s">
        <v>526</v>
      </c>
      <c r="BU4" s="1" t="s">
        <v>494</v>
      </c>
      <c r="BV4" s="1" t="s">
        <v>552</v>
      </c>
    </row>
    <row r="5" spans="1:74" ht="341.25" customHeight="1" x14ac:dyDescent="0.25">
      <c r="A5" s="22">
        <v>4</v>
      </c>
      <c r="B5" s="22"/>
      <c r="C5" s="22" t="s">
        <v>553</v>
      </c>
      <c r="D5" s="22" t="s">
        <v>554</v>
      </c>
      <c r="E5" s="22" t="s">
        <v>555</v>
      </c>
      <c r="F5" s="22" t="s">
        <v>280</v>
      </c>
      <c r="G5" s="22">
        <v>2023</v>
      </c>
      <c r="H5" s="22" t="s">
        <v>556</v>
      </c>
      <c r="I5" s="22">
        <v>6</v>
      </c>
      <c r="J5" s="22" t="s">
        <v>557</v>
      </c>
      <c r="K5" s="23" t="s">
        <v>558</v>
      </c>
      <c r="L5" s="22" t="s">
        <v>559</v>
      </c>
      <c r="M5" s="22" t="s">
        <v>560</v>
      </c>
      <c r="N5" s="22" t="s">
        <v>561</v>
      </c>
      <c r="O5" s="22" t="s">
        <v>562</v>
      </c>
      <c r="P5" s="22"/>
      <c r="Q5" s="22" t="s">
        <v>563</v>
      </c>
      <c r="R5" s="22" t="s">
        <v>467</v>
      </c>
      <c r="S5" s="22" t="s">
        <v>506</v>
      </c>
      <c r="T5" s="22" t="s">
        <v>469</v>
      </c>
      <c r="U5" s="22" t="s">
        <v>564</v>
      </c>
      <c r="V5" s="22" t="s">
        <v>470</v>
      </c>
      <c r="W5" s="22" t="s">
        <v>471</v>
      </c>
      <c r="X5" s="22" t="s">
        <v>472</v>
      </c>
      <c r="Y5" s="22" t="s">
        <v>473</v>
      </c>
      <c r="Z5" s="22" t="s">
        <v>474</v>
      </c>
      <c r="AA5" s="22" t="s">
        <v>513</v>
      </c>
      <c r="AB5" s="22"/>
      <c r="AC5" s="22" t="s">
        <v>476</v>
      </c>
      <c r="AD5" s="25" t="s">
        <v>565</v>
      </c>
      <c r="AE5" s="25" t="s">
        <v>566</v>
      </c>
      <c r="AF5" s="25" t="s">
        <v>567</v>
      </c>
      <c r="AG5" s="25" t="s">
        <v>568</v>
      </c>
      <c r="AH5" s="25" t="s">
        <v>569</v>
      </c>
      <c r="AI5" s="25"/>
      <c r="AJ5" s="25"/>
      <c r="AK5" s="25"/>
      <c r="AL5" s="22" t="s">
        <v>570</v>
      </c>
      <c r="AM5" s="22" t="s">
        <v>514</v>
      </c>
      <c r="AN5" s="22" t="s">
        <v>476</v>
      </c>
      <c r="AO5" s="22" t="s">
        <v>513</v>
      </c>
      <c r="AP5" s="22"/>
      <c r="AQ5" s="22"/>
      <c r="AR5" s="1" t="s">
        <v>160</v>
      </c>
      <c r="AS5" s="1" t="s">
        <v>147</v>
      </c>
      <c r="AT5" s="1" t="s">
        <v>119</v>
      </c>
      <c r="AU5" s="1" t="s">
        <v>571</v>
      </c>
      <c r="AV5" s="1" t="s">
        <v>136</v>
      </c>
      <c r="AW5" s="1" t="s">
        <v>572</v>
      </c>
      <c r="AX5" s="1" t="s">
        <v>187</v>
      </c>
      <c r="AY5" s="1" t="s">
        <v>128</v>
      </c>
      <c r="AZ5" s="1" t="s">
        <v>128</v>
      </c>
      <c r="BA5" s="1" t="s">
        <v>223</v>
      </c>
      <c r="BB5" s="1" t="s">
        <v>94</v>
      </c>
      <c r="BC5" s="1" t="s">
        <v>486</v>
      </c>
      <c r="BD5" s="1" t="s">
        <v>486</v>
      </c>
      <c r="BE5" s="1" t="s">
        <v>573</v>
      </c>
      <c r="BF5" s="1" t="s">
        <v>231</v>
      </c>
      <c r="BG5" s="1" t="s">
        <v>122</v>
      </c>
      <c r="BH5" s="1" t="s">
        <v>574</v>
      </c>
      <c r="BI5" s="1" t="s">
        <v>235</v>
      </c>
      <c r="BJ5" s="1" t="s">
        <v>575</v>
      </c>
      <c r="BK5" s="1" t="s">
        <v>215</v>
      </c>
      <c r="BL5" s="1" t="s">
        <v>240</v>
      </c>
      <c r="BM5" s="1" t="s">
        <v>576</v>
      </c>
      <c r="BN5" s="1" t="s">
        <v>577</v>
      </c>
      <c r="BO5" s="26">
        <f>IF(COUNTIF('MMAT Appraisal'!$A$2:$A$60,A5)=0,"",INDEX('MMAT Appraisal'!$K$2:$K$60,MATCH(A5,'MMAT Appraisal'!$A$2:$A$60,0)))</f>
        <v>2</v>
      </c>
      <c r="BP5" s="1" t="str">
        <f t="shared" si="0"/>
        <v>Low</v>
      </c>
      <c r="BQ5" s="1" t="s">
        <v>578</v>
      </c>
      <c r="BR5" s="1" t="s">
        <v>259</v>
      </c>
      <c r="BS5" s="1" t="s">
        <v>525</v>
      </c>
      <c r="BT5" s="1" t="s">
        <v>526</v>
      </c>
      <c r="BU5" s="1" t="s">
        <v>494</v>
      </c>
      <c r="BV5" s="1" t="s">
        <v>579</v>
      </c>
    </row>
    <row r="6" spans="1:74" ht="341.25" customHeight="1" x14ac:dyDescent="0.25">
      <c r="A6" s="22">
        <v>5</v>
      </c>
      <c r="B6" s="22"/>
      <c r="C6" s="22" t="s">
        <v>580</v>
      </c>
      <c r="D6" s="22" t="s">
        <v>581</v>
      </c>
      <c r="E6" s="22" t="s">
        <v>582</v>
      </c>
      <c r="F6" s="22" t="s">
        <v>282</v>
      </c>
      <c r="G6" s="22">
        <v>2022</v>
      </c>
      <c r="H6" s="22" t="s">
        <v>583</v>
      </c>
      <c r="I6" s="22">
        <v>1</v>
      </c>
      <c r="J6" s="22" t="s">
        <v>584</v>
      </c>
      <c r="K6" s="23" t="s">
        <v>585</v>
      </c>
      <c r="L6" s="22" t="s">
        <v>586</v>
      </c>
      <c r="M6" s="22" t="s">
        <v>587</v>
      </c>
      <c r="N6" s="22" t="s">
        <v>588</v>
      </c>
      <c r="O6" s="22" t="s">
        <v>589</v>
      </c>
      <c r="P6" s="22" t="s">
        <v>590</v>
      </c>
      <c r="Q6" s="22" t="s">
        <v>466</v>
      </c>
      <c r="R6" s="22" t="s">
        <v>467</v>
      </c>
      <c r="S6" s="22" t="s">
        <v>468</v>
      </c>
      <c r="T6" s="22" t="s">
        <v>469</v>
      </c>
      <c r="U6" s="22"/>
      <c r="V6" s="22" t="s">
        <v>470</v>
      </c>
      <c r="W6" s="22" t="s">
        <v>471</v>
      </c>
      <c r="X6" s="22" t="s">
        <v>472</v>
      </c>
      <c r="Y6" s="22" t="s">
        <v>473</v>
      </c>
      <c r="Z6" s="22" t="s">
        <v>474</v>
      </c>
      <c r="AA6" s="22" t="s">
        <v>513</v>
      </c>
      <c r="AB6" s="22"/>
      <c r="AC6" s="22" t="s">
        <v>476</v>
      </c>
      <c r="AD6" s="25" t="s">
        <v>591</v>
      </c>
      <c r="AE6" s="25" t="s">
        <v>592</v>
      </c>
      <c r="AF6" s="25" t="s">
        <v>593</v>
      </c>
      <c r="AG6" s="25" t="s">
        <v>594</v>
      </c>
      <c r="AH6" s="25" t="s">
        <v>595</v>
      </c>
      <c r="AI6" s="25"/>
      <c r="AJ6" s="25"/>
      <c r="AK6" s="25"/>
      <c r="AL6" s="22" t="s">
        <v>596</v>
      </c>
      <c r="AM6" s="22" t="s">
        <v>474</v>
      </c>
      <c r="AN6" s="22" t="s">
        <v>476</v>
      </c>
      <c r="AO6" s="22" t="s">
        <v>475</v>
      </c>
      <c r="AP6" s="22"/>
      <c r="AQ6" s="22"/>
      <c r="AR6" s="1" t="s">
        <v>154</v>
      </c>
      <c r="AS6" s="1" t="s">
        <v>144</v>
      </c>
      <c r="AT6" s="1" t="s">
        <v>117</v>
      </c>
      <c r="AU6" s="1" t="s">
        <v>597</v>
      </c>
      <c r="AV6" s="1" t="s">
        <v>133</v>
      </c>
      <c r="AW6" s="1" t="s">
        <v>598</v>
      </c>
      <c r="AX6" s="1" t="s">
        <v>187</v>
      </c>
      <c r="AY6" s="1" t="s">
        <v>125</v>
      </c>
      <c r="AZ6" s="1" t="s">
        <v>599</v>
      </c>
      <c r="BA6" s="1" t="s">
        <v>223</v>
      </c>
      <c r="BB6" s="1" t="s">
        <v>486</v>
      </c>
      <c r="BC6" s="1" t="s">
        <v>94</v>
      </c>
      <c r="BD6" s="1" t="s">
        <v>486</v>
      </c>
      <c r="BE6" s="1" t="s">
        <v>600</v>
      </c>
      <c r="BF6" s="1" t="s">
        <v>231</v>
      </c>
      <c r="BG6" s="1" t="s">
        <v>122</v>
      </c>
      <c r="BH6" s="1" t="s">
        <v>601</v>
      </c>
      <c r="BI6" s="1" t="s">
        <v>235</v>
      </c>
      <c r="BJ6" s="1" t="s">
        <v>489</v>
      </c>
      <c r="BK6" s="1" t="s">
        <v>215</v>
      </c>
      <c r="BL6" s="1" t="s">
        <v>240</v>
      </c>
      <c r="BM6" s="1" t="s">
        <v>602</v>
      </c>
      <c r="BN6" s="1" t="s">
        <v>603</v>
      </c>
      <c r="BO6" s="26">
        <f>IF(COUNTIF('MMAT Appraisal'!$A$2:$A$60,A6)=0,"",INDEX('MMAT Appraisal'!$K$2:$K$60,MATCH(A6,'MMAT Appraisal'!$A$2:$A$60,0)))</f>
        <v>2</v>
      </c>
      <c r="BP6" s="1" t="str">
        <f t="shared" si="0"/>
        <v>Low</v>
      </c>
      <c r="BQ6" s="1" t="s">
        <v>122</v>
      </c>
      <c r="BR6" s="1" t="s">
        <v>122</v>
      </c>
      <c r="BS6" s="1" t="s">
        <v>525</v>
      </c>
      <c r="BT6" s="1" t="s">
        <v>526</v>
      </c>
      <c r="BU6" s="1" t="s">
        <v>494</v>
      </c>
      <c r="BV6" s="1" t="s">
        <v>604</v>
      </c>
    </row>
    <row r="7" spans="1:74" ht="341.25" customHeight="1" x14ac:dyDescent="0.25">
      <c r="A7" s="22">
        <v>6</v>
      </c>
      <c r="B7" s="22"/>
      <c r="C7" s="22" t="s">
        <v>605</v>
      </c>
      <c r="D7" s="22" t="s">
        <v>606</v>
      </c>
      <c r="E7" s="22" t="s">
        <v>607</v>
      </c>
      <c r="F7" s="22" t="s">
        <v>284</v>
      </c>
      <c r="G7" s="22">
        <v>2021</v>
      </c>
      <c r="H7" s="22" t="s">
        <v>608</v>
      </c>
      <c r="I7" s="22">
        <v>1</v>
      </c>
      <c r="J7" s="22" t="s">
        <v>609</v>
      </c>
      <c r="K7" s="23" t="s">
        <v>610</v>
      </c>
      <c r="L7" s="22" t="s">
        <v>611</v>
      </c>
      <c r="M7" s="22" t="s">
        <v>612</v>
      </c>
      <c r="N7" s="22" t="s">
        <v>613</v>
      </c>
      <c r="O7" s="22" t="s">
        <v>614</v>
      </c>
      <c r="P7" s="22" t="s">
        <v>615</v>
      </c>
      <c r="Q7" s="22" t="s">
        <v>466</v>
      </c>
      <c r="R7" s="22" t="s">
        <v>467</v>
      </c>
      <c r="S7" s="22" t="s">
        <v>468</v>
      </c>
      <c r="T7" s="22" t="s">
        <v>469</v>
      </c>
      <c r="U7" s="22"/>
      <c r="V7" s="22" t="s">
        <v>470</v>
      </c>
      <c r="W7" s="22" t="s">
        <v>471</v>
      </c>
      <c r="X7" s="22" t="s">
        <v>472</v>
      </c>
      <c r="Y7" s="22" t="s">
        <v>473</v>
      </c>
      <c r="Z7" s="22" t="s">
        <v>474</v>
      </c>
      <c r="AA7" s="22" t="s">
        <v>513</v>
      </c>
      <c r="AB7" s="22"/>
      <c r="AC7" s="22" t="s">
        <v>476</v>
      </c>
      <c r="AD7" s="25" t="s">
        <v>616</v>
      </c>
      <c r="AE7" s="25" t="s">
        <v>617</v>
      </c>
      <c r="AF7" s="25" t="s">
        <v>618</v>
      </c>
      <c r="AG7" s="25" t="s">
        <v>619</v>
      </c>
      <c r="AH7" s="25" t="s">
        <v>620</v>
      </c>
      <c r="AI7" s="25"/>
      <c r="AJ7" s="25"/>
      <c r="AK7" s="25"/>
      <c r="AL7" s="22" t="s">
        <v>596</v>
      </c>
      <c r="AM7" s="22" t="s">
        <v>513</v>
      </c>
      <c r="AN7" s="22" t="s">
        <v>621</v>
      </c>
      <c r="AO7" s="22" t="s">
        <v>514</v>
      </c>
      <c r="AP7" s="22"/>
      <c r="AQ7" s="22"/>
      <c r="AR7" s="1" t="s">
        <v>152</v>
      </c>
      <c r="AS7" s="1" t="s">
        <v>146</v>
      </c>
      <c r="AT7" s="1" t="s">
        <v>122</v>
      </c>
      <c r="AU7" s="1" t="s">
        <v>622</v>
      </c>
      <c r="AV7" s="1" t="s">
        <v>133</v>
      </c>
      <c r="AW7" s="1" t="s">
        <v>623</v>
      </c>
      <c r="AX7" s="1" t="s">
        <v>187</v>
      </c>
      <c r="AY7" s="1" t="s">
        <v>127</v>
      </c>
      <c r="AZ7" s="1" t="s">
        <v>624</v>
      </c>
      <c r="BA7" s="1" t="s">
        <v>223</v>
      </c>
      <c r="BB7" s="1" t="s">
        <v>486</v>
      </c>
      <c r="BC7" s="1" t="s">
        <v>486</v>
      </c>
      <c r="BD7" s="1" t="s">
        <v>486</v>
      </c>
      <c r="BE7" s="1" t="s">
        <v>625</v>
      </c>
      <c r="BF7" s="1" t="s">
        <v>626</v>
      </c>
      <c r="BG7" s="1" t="s">
        <v>122</v>
      </c>
      <c r="BH7" s="1" t="s">
        <v>223</v>
      </c>
      <c r="BI7" s="1" t="s">
        <v>238</v>
      </c>
      <c r="BJ7" s="1" t="s">
        <v>627</v>
      </c>
      <c r="BK7" s="1" t="s">
        <v>628</v>
      </c>
      <c r="BL7" s="1" t="s">
        <v>285</v>
      </c>
      <c r="BM7" s="1" t="s">
        <v>629</v>
      </c>
      <c r="BN7" s="1" t="s">
        <v>238</v>
      </c>
      <c r="BO7" s="26" t="str">
        <f>IF(COUNTIF('MMAT Appraisal'!$A$2:$A$60,A7)=0,"",INDEX('MMAT Appraisal'!$K$2:$K$60,MATCH(A7,'MMAT Appraisal'!$A$2:$A$60,0)))</f>
        <v/>
      </c>
      <c r="BP7" s="1" t="str">
        <f t="shared" si="0"/>
        <v>Not rated</v>
      </c>
      <c r="BQ7" s="1" t="s">
        <v>122</v>
      </c>
      <c r="BR7" s="1" t="s">
        <v>122</v>
      </c>
      <c r="BS7" s="1" t="s">
        <v>492</v>
      </c>
      <c r="BT7" s="1" t="s">
        <v>630</v>
      </c>
      <c r="BU7" s="1" t="s">
        <v>494</v>
      </c>
      <c r="BV7" s="1" t="s">
        <v>631</v>
      </c>
    </row>
    <row r="8" spans="1:74" ht="341.25" customHeight="1" x14ac:dyDescent="0.25">
      <c r="A8" s="22">
        <v>7</v>
      </c>
      <c r="B8" s="22"/>
      <c r="C8" s="22" t="s">
        <v>632</v>
      </c>
      <c r="D8" s="22" t="s">
        <v>633</v>
      </c>
      <c r="E8" s="22" t="s">
        <v>634</v>
      </c>
      <c r="F8" s="22" t="s">
        <v>287</v>
      </c>
      <c r="G8" s="22">
        <v>2021</v>
      </c>
      <c r="H8" s="22" t="s">
        <v>635</v>
      </c>
      <c r="I8" s="22">
        <v>0</v>
      </c>
      <c r="J8" s="22" t="s">
        <v>636</v>
      </c>
      <c r="K8" s="23" t="s">
        <v>637</v>
      </c>
      <c r="L8" s="22" t="s">
        <v>638</v>
      </c>
      <c r="M8" s="22" t="s">
        <v>639</v>
      </c>
      <c r="N8" s="22" t="s">
        <v>640</v>
      </c>
      <c r="O8" s="22" t="s">
        <v>641</v>
      </c>
      <c r="P8" s="22" t="s">
        <v>642</v>
      </c>
      <c r="Q8" s="22" t="s">
        <v>466</v>
      </c>
      <c r="R8" s="22" t="s">
        <v>467</v>
      </c>
      <c r="S8" s="22" t="s">
        <v>468</v>
      </c>
      <c r="T8" s="22" t="s">
        <v>469</v>
      </c>
      <c r="U8" s="22"/>
      <c r="V8" s="22" t="s">
        <v>470</v>
      </c>
      <c r="W8" s="22" t="s">
        <v>471</v>
      </c>
      <c r="X8" s="22" t="s">
        <v>472</v>
      </c>
      <c r="Y8" s="22" t="s">
        <v>473</v>
      </c>
      <c r="Z8" s="22" t="s">
        <v>474</v>
      </c>
      <c r="AA8" s="22" t="s">
        <v>513</v>
      </c>
      <c r="AB8" s="22"/>
      <c r="AC8" s="22" t="s">
        <v>476</v>
      </c>
      <c r="AD8" s="25" t="s">
        <v>643</v>
      </c>
      <c r="AE8" s="25" t="s">
        <v>644</v>
      </c>
      <c r="AF8" s="25" t="s">
        <v>645</v>
      </c>
      <c r="AG8" s="25" t="s">
        <v>646</v>
      </c>
      <c r="AH8" s="25" t="s">
        <v>647</v>
      </c>
      <c r="AI8" s="25"/>
      <c r="AJ8" s="25"/>
      <c r="AK8" s="25"/>
      <c r="AL8" s="22" t="s">
        <v>648</v>
      </c>
      <c r="AM8" s="22" t="s">
        <v>475</v>
      </c>
      <c r="AN8" s="22" t="s">
        <v>476</v>
      </c>
      <c r="AO8" s="22" t="s">
        <v>474</v>
      </c>
      <c r="AP8" s="22"/>
      <c r="AQ8" s="22"/>
      <c r="AR8" s="1" t="s">
        <v>174</v>
      </c>
      <c r="AS8" s="1" t="s">
        <v>144</v>
      </c>
      <c r="AT8" s="1" t="s">
        <v>122</v>
      </c>
      <c r="AU8" s="1" t="s">
        <v>649</v>
      </c>
      <c r="AV8" s="1" t="s">
        <v>138</v>
      </c>
      <c r="AW8" s="1" t="s">
        <v>650</v>
      </c>
      <c r="AX8" s="1" t="s">
        <v>187</v>
      </c>
      <c r="AY8" s="1" t="s">
        <v>122</v>
      </c>
      <c r="AZ8" s="1" t="s">
        <v>651</v>
      </c>
      <c r="BA8" s="1" t="s">
        <v>223</v>
      </c>
      <c r="BB8" s="1" t="s">
        <v>486</v>
      </c>
      <c r="BC8" s="1" t="s">
        <v>94</v>
      </c>
      <c r="BD8" s="1" t="s">
        <v>94</v>
      </c>
      <c r="BE8" s="1" t="s">
        <v>652</v>
      </c>
      <c r="BF8" s="1" t="s">
        <v>231</v>
      </c>
      <c r="BG8" s="1" t="s">
        <v>122</v>
      </c>
      <c r="BH8" s="1" t="s">
        <v>653</v>
      </c>
      <c r="BI8" s="1" t="s">
        <v>237</v>
      </c>
      <c r="BJ8" s="1" t="s">
        <v>489</v>
      </c>
      <c r="BK8" s="1" t="s">
        <v>215</v>
      </c>
      <c r="BL8" s="1" t="s">
        <v>240</v>
      </c>
      <c r="BM8" s="1" t="s">
        <v>654</v>
      </c>
      <c r="BN8" s="1" t="s">
        <v>655</v>
      </c>
      <c r="BO8" s="26">
        <f>IF(COUNTIF('MMAT Appraisal'!$A$2:$A$60,A8)=0,"",INDEX('MMAT Appraisal'!$K$2:$K$60,MATCH(A8,'MMAT Appraisal'!$A$2:$A$60,0)))</f>
        <v>0</v>
      </c>
      <c r="BP8" s="1" t="str">
        <f t="shared" si="0"/>
        <v>Low</v>
      </c>
      <c r="BQ8" s="1" t="s">
        <v>656</v>
      </c>
      <c r="BR8" s="1" t="s">
        <v>258</v>
      </c>
      <c r="BS8" s="1" t="s">
        <v>525</v>
      </c>
      <c r="BT8" s="1" t="s">
        <v>526</v>
      </c>
      <c r="BU8" s="1" t="s">
        <v>494</v>
      </c>
      <c r="BV8" s="1" t="s">
        <v>657</v>
      </c>
    </row>
    <row r="9" spans="1:74" ht="341.25" customHeight="1" x14ac:dyDescent="0.25">
      <c r="A9" s="22">
        <v>8</v>
      </c>
      <c r="B9" s="22"/>
      <c r="C9" s="22" t="s">
        <v>658</v>
      </c>
      <c r="D9" s="22" t="s">
        <v>659</v>
      </c>
      <c r="E9" s="22" t="s">
        <v>660</v>
      </c>
      <c r="F9" s="22" t="s">
        <v>289</v>
      </c>
      <c r="G9" s="22">
        <v>2020</v>
      </c>
      <c r="H9" s="22" t="s">
        <v>661</v>
      </c>
      <c r="I9" s="22">
        <v>9</v>
      </c>
      <c r="J9" s="22" t="s">
        <v>662</v>
      </c>
      <c r="K9" s="23" t="s">
        <v>663</v>
      </c>
      <c r="L9" s="22" t="s">
        <v>664</v>
      </c>
      <c r="M9" s="22" t="s">
        <v>665</v>
      </c>
      <c r="N9" s="22" t="s">
        <v>666</v>
      </c>
      <c r="O9" s="22" t="s">
        <v>667</v>
      </c>
      <c r="P9" s="22" t="s">
        <v>668</v>
      </c>
      <c r="Q9" s="22" t="s">
        <v>505</v>
      </c>
      <c r="R9" s="22" t="s">
        <v>467</v>
      </c>
      <c r="S9" s="22" t="s">
        <v>468</v>
      </c>
      <c r="T9" s="22" t="s">
        <v>469</v>
      </c>
      <c r="U9" s="22"/>
      <c r="V9" s="22" t="s">
        <v>470</v>
      </c>
      <c r="W9" s="22" t="s">
        <v>471</v>
      </c>
      <c r="X9" s="22" t="s">
        <v>472</v>
      </c>
      <c r="Y9" s="22" t="s">
        <v>473</v>
      </c>
      <c r="Z9" s="22" t="s">
        <v>474</v>
      </c>
      <c r="AA9" s="22" t="s">
        <v>513</v>
      </c>
      <c r="AB9" s="22"/>
      <c r="AC9" s="22" t="s">
        <v>476</v>
      </c>
      <c r="AD9" s="25" t="s">
        <v>669</v>
      </c>
      <c r="AE9" s="25" t="s">
        <v>670</v>
      </c>
      <c r="AF9" s="25" t="s">
        <v>671</v>
      </c>
      <c r="AG9" s="25" t="s">
        <v>672</v>
      </c>
      <c r="AH9" s="25" t="s">
        <v>673</v>
      </c>
      <c r="AI9" s="25"/>
      <c r="AJ9" s="25"/>
      <c r="AK9" s="25"/>
      <c r="AL9" s="22" t="s">
        <v>181</v>
      </c>
      <c r="AM9" s="22" t="s">
        <v>514</v>
      </c>
      <c r="AN9" s="25" t="s">
        <v>674</v>
      </c>
      <c r="AO9" s="22" t="s">
        <v>513</v>
      </c>
      <c r="AP9" s="22"/>
      <c r="AQ9" s="22"/>
      <c r="AR9" s="1" t="s">
        <v>152</v>
      </c>
      <c r="AS9" s="1" t="s">
        <v>146</v>
      </c>
      <c r="AT9" s="1" t="s">
        <v>178</v>
      </c>
      <c r="AU9" s="1" t="s">
        <v>675</v>
      </c>
      <c r="AV9" s="1" t="s">
        <v>181</v>
      </c>
      <c r="AW9" s="1" t="s">
        <v>676</v>
      </c>
      <c r="AX9" s="1" t="s">
        <v>187</v>
      </c>
      <c r="AY9" s="1" t="s">
        <v>125</v>
      </c>
      <c r="AZ9" s="1" t="s">
        <v>677</v>
      </c>
      <c r="BA9" s="1" t="s">
        <v>223</v>
      </c>
      <c r="BB9" s="1" t="s">
        <v>486</v>
      </c>
      <c r="BC9" s="1" t="s">
        <v>486</v>
      </c>
      <c r="BD9" s="1" t="s">
        <v>486</v>
      </c>
      <c r="BE9" s="1" t="s">
        <v>678</v>
      </c>
      <c r="BF9" s="1" t="s">
        <v>626</v>
      </c>
      <c r="BG9" s="1" t="s">
        <v>122</v>
      </c>
      <c r="BH9" s="1" t="s">
        <v>223</v>
      </c>
      <c r="BI9" s="1" t="s">
        <v>238</v>
      </c>
      <c r="BJ9" s="1" t="s">
        <v>679</v>
      </c>
      <c r="BK9" s="1" t="s">
        <v>628</v>
      </c>
      <c r="BL9" s="1" t="s">
        <v>285</v>
      </c>
      <c r="BM9" s="1" t="s">
        <v>97</v>
      </c>
      <c r="BN9" s="1" t="s">
        <v>238</v>
      </c>
      <c r="BO9" s="26" t="str">
        <f>IF(COUNTIF('MMAT Appraisal'!$A$2:$A$60,A9)=0,"",INDEX('MMAT Appraisal'!$K$2:$K$60,MATCH(A9,'MMAT Appraisal'!$A$2:$A$60,0)))</f>
        <v/>
      </c>
      <c r="BP9" s="1" t="str">
        <f t="shared" si="0"/>
        <v>Not rated</v>
      </c>
      <c r="BQ9" s="1" t="s">
        <v>122</v>
      </c>
      <c r="BR9" s="1" t="s">
        <v>122</v>
      </c>
      <c r="BS9" s="1" t="s">
        <v>492</v>
      </c>
      <c r="BT9" s="1" t="s">
        <v>680</v>
      </c>
      <c r="BU9" s="1" t="s">
        <v>494</v>
      </c>
      <c r="BV9" s="1" t="s">
        <v>681</v>
      </c>
    </row>
    <row r="10" spans="1:74" ht="341.25" customHeight="1" x14ac:dyDescent="0.25">
      <c r="A10" s="22">
        <v>9</v>
      </c>
      <c r="B10" s="22"/>
      <c r="C10" s="22" t="s">
        <v>682</v>
      </c>
      <c r="D10" s="22" t="s">
        <v>683</v>
      </c>
      <c r="E10" s="22" t="s">
        <v>684</v>
      </c>
      <c r="F10" s="22" t="s">
        <v>291</v>
      </c>
      <c r="G10" s="22">
        <v>2020</v>
      </c>
      <c r="H10" s="22" t="s">
        <v>685</v>
      </c>
      <c r="I10" s="22">
        <v>1</v>
      </c>
      <c r="J10" s="22" t="s">
        <v>686</v>
      </c>
      <c r="K10" s="23" t="s">
        <v>687</v>
      </c>
      <c r="L10" s="22" t="s">
        <v>688</v>
      </c>
      <c r="M10" s="22" t="s">
        <v>689</v>
      </c>
      <c r="N10" s="22" t="s">
        <v>690</v>
      </c>
      <c r="O10" s="22" t="s">
        <v>691</v>
      </c>
      <c r="P10" s="22" t="s">
        <v>692</v>
      </c>
      <c r="Q10" s="22" t="s">
        <v>466</v>
      </c>
      <c r="R10" s="22" t="s">
        <v>467</v>
      </c>
      <c r="S10" s="22" t="s">
        <v>468</v>
      </c>
      <c r="T10" s="22" t="s">
        <v>469</v>
      </c>
      <c r="U10" s="22"/>
      <c r="V10" s="22" t="s">
        <v>470</v>
      </c>
      <c r="W10" s="22" t="s">
        <v>471</v>
      </c>
      <c r="X10" s="22" t="s">
        <v>472</v>
      </c>
      <c r="Y10" s="22" t="s">
        <v>473</v>
      </c>
      <c r="Z10" s="22" t="s">
        <v>474</v>
      </c>
      <c r="AA10" s="22" t="s">
        <v>513</v>
      </c>
      <c r="AB10" s="22"/>
      <c r="AC10" s="22" t="s">
        <v>693</v>
      </c>
      <c r="AD10" s="25" t="s">
        <v>694</v>
      </c>
      <c r="AE10" s="25" t="s">
        <v>695</v>
      </c>
      <c r="AF10" s="25" t="s">
        <v>696</v>
      </c>
      <c r="AG10" s="25" t="s">
        <v>697</v>
      </c>
      <c r="AH10" s="25" t="s">
        <v>698</v>
      </c>
      <c r="AI10" s="25"/>
      <c r="AJ10" s="25"/>
      <c r="AK10" s="25"/>
      <c r="AL10" s="22" t="s">
        <v>512</v>
      </c>
      <c r="AM10" s="22" t="s">
        <v>474</v>
      </c>
      <c r="AN10" s="22" t="s">
        <v>476</v>
      </c>
      <c r="AO10" s="22" t="s">
        <v>475</v>
      </c>
      <c r="AP10" s="22"/>
      <c r="AQ10" s="22"/>
      <c r="AR10" s="1" t="s">
        <v>152</v>
      </c>
      <c r="AS10" s="1" t="s">
        <v>146</v>
      </c>
      <c r="AT10" s="1" t="s">
        <v>119</v>
      </c>
      <c r="AU10" s="1" t="s">
        <v>699</v>
      </c>
      <c r="AV10" s="1" t="s">
        <v>138</v>
      </c>
      <c r="AW10" s="1" t="s">
        <v>700</v>
      </c>
      <c r="AX10" s="1" t="s">
        <v>187</v>
      </c>
      <c r="AY10" s="1" t="s">
        <v>125</v>
      </c>
      <c r="AZ10" s="1" t="s">
        <v>599</v>
      </c>
      <c r="BA10" s="1" t="s">
        <v>223</v>
      </c>
      <c r="BB10" s="1" t="s">
        <v>94</v>
      </c>
      <c r="BC10" s="1" t="s">
        <v>94</v>
      </c>
      <c r="BD10" s="1" t="s">
        <v>486</v>
      </c>
      <c r="BE10" s="1" t="s">
        <v>701</v>
      </c>
      <c r="BF10" s="1" t="s">
        <v>231</v>
      </c>
      <c r="BG10" s="1" t="s">
        <v>122</v>
      </c>
      <c r="BH10" s="1" t="s">
        <v>702</v>
      </c>
      <c r="BI10" s="1" t="s">
        <v>235</v>
      </c>
      <c r="BJ10" s="1" t="s">
        <v>521</v>
      </c>
      <c r="BK10" s="1" t="s">
        <v>217</v>
      </c>
      <c r="BL10" s="1" t="s">
        <v>221</v>
      </c>
      <c r="BM10" s="1" t="s">
        <v>703</v>
      </c>
      <c r="BN10" s="1" t="s">
        <v>704</v>
      </c>
      <c r="BO10" s="26">
        <f>IF(COUNTIF('MMAT Appraisal'!$A$2:$A$60,A10)=0,"",INDEX('MMAT Appraisal'!$K$2:$K$60,MATCH(A10,'MMAT Appraisal'!$A$2:$A$60,0)))</f>
        <v>4</v>
      </c>
      <c r="BP10" s="1" t="str">
        <f t="shared" si="0"/>
        <v>Low</v>
      </c>
      <c r="BQ10" s="1" t="s">
        <v>705</v>
      </c>
      <c r="BR10" s="1" t="s">
        <v>258</v>
      </c>
      <c r="BS10" s="1" t="s">
        <v>525</v>
      </c>
      <c r="BT10" s="1" t="s">
        <v>526</v>
      </c>
      <c r="BU10" s="1" t="s">
        <v>494</v>
      </c>
      <c r="BV10" s="1" t="s">
        <v>706</v>
      </c>
    </row>
    <row r="11" spans="1:74" ht="341.25" customHeight="1" x14ac:dyDescent="0.25">
      <c r="A11" s="22">
        <v>10</v>
      </c>
      <c r="B11" s="22"/>
      <c r="C11" s="22" t="s">
        <v>707</v>
      </c>
      <c r="D11" s="22" t="s">
        <v>708</v>
      </c>
      <c r="E11" s="22" t="s">
        <v>709</v>
      </c>
      <c r="F11" s="22" t="s">
        <v>293</v>
      </c>
      <c r="G11" s="22">
        <v>2019</v>
      </c>
      <c r="H11" s="22" t="s">
        <v>710</v>
      </c>
      <c r="I11" s="22">
        <v>103</v>
      </c>
      <c r="J11" s="22" t="s">
        <v>711</v>
      </c>
      <c r="K11" s="23" t="s">
        <v>712</v>
      </c>
      <c r="L11" s="22" t="s">
        <v>713</v>
      </c>
      <c r="M11" s="22" t="s">
        <v>714</v>
      </c>
      <c r="N11" s="22" t="s">
        <v>715</v>
      </c>
      <c r="O11" s="22" t="s">
        <v>716</v>
      </c>
      <c r="P11" s="22"/>
      <c r="Q11" s="22" t="s">
        <v>717</v>
      </c>
      <c r="R11" s="22" t="s">
        <v>467</v>
      </c>
      <c r="S11" s="22" t="s">
        <v>506</v>
      </c>
      <c r="T11" s="22" t="s">
        <v>469</v>
      </c>
      <c r="U11" s="22"/>
      <c r="V11" s="22" t="s">
        <v>470</v>
      </c>
      <c r="W11" s="22" t="s">
        <v>471</v>
      </c>
      <c r="X11" s="22" t="s">
        <v>472</v>
      </c>
      <c r="Y11" s="22" t="s">
        <v>473</v>
      </c>
      <c r="Z11" s="22" t="s">
        <v>474</v>
      </c>
      <c r="AA11" s="22" t="s">
        <v>513</v>
      </c>
      <c r="AB11" s="22"/>
      <c r="AC11" s="22" t="s">
        <v>718</v>
      </c>
      <c r="AD11" s="25" t="s">
        <v>719</v>
      </c>
      <c r="AE11" s="25" t="s">
        <v>720</v>
      </c>
      <c r="AF11" s="25" t="s">
        <v>721</v>
      </c>
      <c r="AG11" s="25" t="s">
        <v>722</v>
      </c>
      <c r="AH11" s="25" t="s">
        <v>723</v>
      </c>
      <c r="AI11" s="25"/>
      <c r="AJ11" s="25"/>
      <c r="AK11" s="25"/>
      <c r="AL11" s="22" t="s">
        <v>724</v>
      </c>
      <c r="AM11" s="22" t="s">
        <v>513</v>
      </c>
      <c r="AN11" s="22"/>
      <c r="AO11" s="22" t="s">
        <v>514</v>
      </c>
      <c r="AP11" s="22"/>
      <c r="AQ11" s="22"/>
      <c r="AR11" s="1" t="s">
        <v>158</v>
      </c>
      <c r="AS11" s="1" t="s">
        <v>145</v>
      </c>
      <c r="AT11" s="1" t="s">
        <v>179</v>
      </c>
      <c r="AU11" s="1" t="s">
        <v>725</v>
      </c>
      <c r="AV11" s="1" t="s">
        <v>132</v>
      </c>
      <c r="AW11" s="1" t="s">
        <v>726</v>
      </c>
      <c r="AX11" s="1" t="s">
        <v>187</v>
      </c>
      <c r="AY11" s="1" t="s">
        <v>125</v>
      </c>
      <c r="AZ11" s="1" t="s">
        <v>727</v>
      </c>
      <c r="BA11" s="1" t="s">
        <v>223</v>
      </c>
      <c r="BB11" s="1" t="s">
        <v>94</v>
      </c>
      <c r="BC11" s="1" t="s">
        <v>94</v>
      </c>
      <c r="BD11" s="1" t="s">
        <v>94</v>
      </c>
      <c r="BE11" s="1" t="s">
        <v>728</v>
      </c>
      <c r="BF11" s="1" t="s">
        <v>231</v>
      </c>
      <c r="BG11" s="1" t="s">
        <v>122</v>
      </c>
      <c r="BH11" s="1" t="s">
        <v>729</v>
      </c>
      <c r="BI11" s="1" t="s">
        <v>237</v>
      </c>
      <c r="BJ11" s="1" t="s">
        <v>489</v>
      </c>
      <c r="BK11" s="1" t="s">
        <v>215</v>
      </c>
      <c r="BL11" s="1" t="s">
        <v>240</v>
      </c>
      <c r="BM11" s="1" t="s">
        <v>730</v>
      </c>
      <c r="BN11" s="1" t="s">
        <v>731</v>
      </c>
      <c r="BO11" s="26">
        <f>IF(COUNTIF('MMAT Appraisal'!$A$2:$A$60,A11)=0,"",INDEX('MMAT Appraisal'!$K$2:$K$60,MATCH(A11,'MMAT Appraisal'!$A$2:$A$60,0)))</f>
        <v>3</v>
      </c>
      <c r="BP11" s="1" t="str">
        <f t="shared" si="0"/>
        <v>Low</v>
      </c>
      <c r="BQ11" s="1" t="s">
        <v>732</v>
      </c>
      <c r="BR11" s="1" t="s">
        <v>257</v>
      </c>
      <c r="BS11" s="1" t="s">
        <v>733</v>
      </c>
      <c r="BT11" s="1" t="s">
        <v>734</v>
      </c>
      <c r="BU11" s="1" t="s">
        <v>494</v>
      </c>
      <c r="BV11" s="1" t="s">
        <v>735</v>
      </c>
    </row>
    <row r="12" spans="1:74" ht="341.25" customHeight="1" x14ac:dyDescent="0.25">
      <c r="A12" s="22">
        <v>11</v>
      </c>
      <c r="B12" s="22"/>
      <c r="C12" s="22" t="s">
        <v>736</v>
      </c>
      <c r="D12" s="22" t="s">
        <v>737</v>
      </c>
      <c r="E12" s="22" t="s">
        <v>738</v>
      </c>
      <c r="F12" s="22" t="s">
        <v>295</v>
      </c>
      <c r="G12" s="22">
        <v>2018</v>
      </c>
      <c r="H12" s="22" t="s">
        <v>661</v>
      </c>
      <c r="I12" s="22">
        <v>10</v>
      </c>
      <c r="J12" s="22" t="s">
        <v>739</v>
      </c>
      <c r="K12" s="23" t="s">
        <v>740</v>
      </c>
      <c r="L12" s="22" t="s">
        <v>741</v>
      </c>
      <c r="M12" s="22" t="s">
        <v>742</v>
      </c>
      <c r="N12" s="22" t="s">
        <v>743</v>
      </c>
      <c r="O12" s="22" t="s">
        <v>744</v>
      </c>
      <c r="P12" s="22" t="s">
        <v>745</v>
      </c>
      <c r="Q12" s="22" t="s">
        <v>746</v>
      </c>
      <c r="R12" s="22" t="s">
        <v>467</v>
      </c>
      <c r="S12" s="22" t="s">
        <v>468</v>
      </c>
      <c r="T12" s="22" t="s">
        <v>469</v>
      </c>
      <c r="U12" s="22"/>
      <c r="V12" s="22" t="s">
        <v>470</v>
      </c>
      <c r="W12" s="22" t="s">
        <v>471</v>
      </c>
      <c r="X12" s="22" t="s">
        <v>472</v>
      </c>
      <c r="Y12" s="22" t="s">
        <v>473</v>
      </c>
      <c r="Z12" s="22" t="s">
        <v>474</v>
      </c>
      <c r="AA12" s="22" t="s">
        <v>513</v>
      </c>
      <c r="AB12" s="22"/>
      <c r="AC12" s="22" t="s">
        <v>476</v>
      </c>
      <c r="AD12" s="25" t="s">
        <v>747</v>
      </c>
      <c r="AE12" s="27" t="s">
        <v>748</v>
      </c>
      <c r="AF12" s="27" t="s">
        <v>749</v>
      </c>
      <c r="AG12" s="27" t="s">
        <v>750</v>
      </c>
      <c r="AH12" s="27" t="s">
        <v>751</v>
      </c>
      <c r="AI12" s="27"/>
      <c r="AJ12" s="27"/>
      <c r="AK12" s="27"/>
      <c r="AL12" s="27" t="s">
        <v>512</v>
      </c>
      <c r="AM12" s="22" t="s">
        <v>475</v>
      </c>
      <c r="AN12" s="22"/>
      <c r="AO12" s="22" t="s">
        <v>474</v>
      </c>
      <c r="AP12" s="22" t="s">
        <v>752</v>
      </c>
      <c r="AQ12" s="22" t="s">
        <v>753</v>
      </c>
      <c r="AR12" s="1" t="s">
        <v>165</v>
      </c>
      <c r="AS12" s="1" t="s">
        <v>144</v>
      </c>
      <c r="AT12" s="1" t="s">
        <v>116</v>
      </c>
      <c r="AU12" s="1" t="s">
        <v>754</v>
      </c>
      <c r="AV12" s="1" t="s">
        <v>138</v>
      </c>
      <c r="AW12" s="1" t="s">
        <v>755</v>
      </c>
      <c r="AX12" s="1" t="s">
        <v>188</v>
      </c>
      <c r="AY12" s="1" t="s">
        <v>127</v>
      </c>
      <c r="AZ12" s="1" t="s">
        <v>756</v>
      </c>
      <c r="BA12" s="1" t="s">
        <v>223</v>
      </c>
      <c r="BB12" s="1" t="s">
        <v>486</v>
      </c>
      <c r="BC12" s="1" t="s">
        <v>94</v>
      </c>
      <c r="BD12" s="1" t="s">
        <v>486</v>
      </c>
      <c r="BE12" s="1" t="s">
        <v>757</v>
      </c>
      <c r="BF12" s="1" t="s">
        <v>231</v>
      </c>
      <c r="BG12" s="1" t="s">
        <v>122</v>
      </c>
      <c r="BH12" s="1" t="s">
        <v>758</v>
      </c>
      <c r="BI12" s="1" t="s">
        <v>237</v>
      </c>
      <c r="BJ12" s="1" t="s">
        <v>759</v>
      </c>
      <c r="BK12" s="1" t="s">
        <v>215</v>
      </c>
      <c r="BL12" s="1" t="s">
        <v>240</v>
      </c>
      <c r="BM12" s="1" t="s">
        <v>760</v>
      </c>
      <c r="BN12" s="1" t="s">
        <v>761</v>
      </c>
      <c r="BO12" s="26">
        <f>IF(COUNTIF('MMAT Appraisal'!$A$2:$A$60,A12)=0,"",INDEX('MMAT Appraisal'!$K$2:$K$60,MATCH(A12,'MMAT Appraisal'!$A$2:$A$60,0)))</f>
        <v>1</v>
      </c>
      <c r="BP12" s="1" t="str">
        <f t="shared" si="0"/>
        <v>Low</v>
      </c>
      <c r="BQ12" s="1" t="s">
        <v>122</v>
      </c>
      <c r="BR12" s="1" t="s">
        <v>122</v>
      </c>
      <c r="BS12" s="1" t="s">
        <v>525</v>
      </c>
      <c r="BT12" s="1" t="s">
        <v>526</v>
      </c>
      <c r="BU12" s="1" t="s">
        <v>494</v>
      </c>
      <c r="BV12" s="1" t="s">
        <v>762</v>
      </c>
    </row>
    <row r="13" spans="1:74" ht="341.25" customHeight="1" x14ac:dyDescent="0.25">
      <c r="A13" s="22">
        <v>12</v>
      </c>
      <c r="B13" s="22"/>
      <c r="C13" s="22" t="s">
        <v>763</v>
      </c>
      <c r="D13" s="22" t="s">
        <v>764</v>
      </c>
      <c r="E13" s="22" t="s">
        <v>765</v>
      </c>
      <c r="F13" s="22" t="s">
        <v>297</v>
      </c>
      <c r="G13" s="22">
        <v>2024</v>
      </c>
      <c r="H13" s="22" t="s">
        <v>766</v>
      </c>
      <c r="I13" s="22">
        <v>0</v>
      </c>
      <c r="J13" s="22"/>
      <c r="K13" s="23" t="s">
        <v>767</v>
      </c>
      <c r="L13" s="22" t="s">
        <v>768</v>
      </c>
      <c r="M13" s="22" t="s">
        <v>769</v>
      </c>
      <c r="N13" s="22" t="s">
        <v>770</v>
      </c>
      <c r="O13" s="22" t="s">
        <v>771</v>
      </c>
      <c r="P13" s="22" t="s">
        <v>772</v>
      </c>
      <c r="Q13" s="22" t="s">
        <v>773</v>
      </c>
      <c r="R13" s="22" t="s">
        <v>467</v>
      </c>
      <c r="S13" s="22" t="s">
        <v>468</v>
      </c>
      <c r="T13" s="22" t="s">
        <v>469</v>
      </c>
      <c r="U13" s="22"/>
      <c r="V13" s="22" t="s">
        <v>470</v>
      </c>
      <c r="W13" s="22" t="s">
        <v>471</v>
      </c>
      <c r="X13" s="22" t="s">
        <v>774</v>
      </c>
      <c r="Y13" s="22" t="s">
        <v>775</v>
      </c>
      <c r="Z13" s="22" t="s">
        <v>776</v>
      </c>
      <c r="AA13" s="22" t="s">
        <v>475</v>
      </c>
      <c r="AB13" s="22" t="s">
        <v>777</v>
      </c>
      <c r="AC13" s="22"/>
      <c r="AD13" s="25" t="s">
        <v>778</v>
      </c>
      <c r="AE13" s="25" t="s">
        <v>779</v>
      </c>
      <c r="AF13" s="25" t="s">
        <v>780</v>
      </c>
      <c r="AG13" s="25" t="s">
        <v>781</v>
      </c>
      <c r="AH13" s="25" t="s">
        <v>782</v>
      </c>
      <c r="AI13" s="25"/>
      <c r="AJ13" s="25"/>
      <c r="AK13" s="25"/>
      <c r="AL13" s="22" t="s">
        <v>783</v>
      </c>
      <c r="AM13" s="22" t="s">
        <v>474</v>
      </c>
      <c r="AN13" s="22"/>
      <c r="AO13" s="22"/>
      <c r="AP13" s="22" t="s">
        <v>784</v>
      </c>
      <c r="AQ13" s="22" t="s">
        <v>785</v>
      </c>
      <c r="AR13" s="1" t="s">
        <v>168</v>
      </c>
      <c r="AS13" s="1" t="s">
        <v>145</v>
      </c>
      <c r="AT13" s="1" t="s">
        <v>121</v>
      </c>
      <c r="AU13" s="1" t="s">
        <v>786</v>
      </c>
      <c r="AV13" s="1" t="s">
        <v>182</v>
      </c>
      <c r="AW13" s="1" t="s">
        <v>787</v>
      </c>
      <c r="AX13" s="1" t="s">
        <v>187</v>
      </c>
      <c r="AY13" s="1" t="s">
        <v>125</v>
      </c>
      <c r="AZ13" s="1" t="s">
        <v>485</v>
      </c>
      <c r="BA13" s="1" t="s">
        <v>223</v>
      </c>
      <c r="BB13" s="1" t="s">
        <v>94</v>
      </c>
      <c r="BC13" s="1" t="s">
        <v>94</v>
      </c>
      <c r="BD13" s="1" t="s">
        <v>94</v>
      </c>
      <c r="BE13" s="1" t="s">
        <v>788</v>
      </c>
      <c r="BF13" s="1" t="s">
        <v>232</v>
      </c>
      <c r="BG13" s="1" t="s">
        <v>122</v>
      </c>
      <c r="BH13" s="1" t="s">
        <v>789</v>
      </c>
      <c r="BI13" s="1" t="s">
        <v>238</v>
      </c>
      <c r="BJ13" s="1" t="s">
        <v>790</v>
      </c>
      <c r="BK13" s="1" t="s">
        <v>221</v>
      </c>
      <c r="BL13" s="1" t="s">
        <v>221</v>
      </c>
      <c r="BM13" s="1" t="s">
        <v>791</v>
      </c>
      <c r="BN13" s="1" t="s">
        <v>792</v>
      </c>
      <c r="BO13" s="26">
        <f>IF(COUNTIF('MMAT Appraisal'!$A$2:$A$60,A13)=0,"",INDEX('MMAT Appraisal'!$K$2:$K$60,MATCH(A13,'MMAT Appraisal'!$A$2:$A$60,0)))</f>
        <v>2</v>
      </c>
      <c r="BP13" s="1" t="str">
        <f t="shared" si="0"/>
        <v>Low</v>
      </c>
      <c r="BQ13" s="1" t="s">
        <v>793</v>
      </c>
      <c r="BR13" s="1" t="s">
        <v>259</v>
      </c>
      <c r="BS13" s="1" t="s">
        <v>733</v>
      </c>
      <c r="BT13" s="1" t="s">
        <v>794</v>
      </c>
      <c r="BU13" s="1" t="s">
        <v>494</v>
      </c>
      <c r="BV13" s="1" t="s">
        <v>795</v>
      </c>
    </row>
    <row r="14" spans="1:74" ht="341.25" customHeight="1" x14ac:dyDescent="0.25">
      <c r="A14" s="22">
        <v>13</v>
      </c>
      <c r="B14" s="22"/>
      <c r="C14" s="22" t="s">
        <v>796</v>
      </c>
      <c r="D14" s="22" t="s">
        <v>797</v>
      </c>
      <c r="E14" s="22" t="s">
        <v>798</v>
      </c>
      <c r="F14" s="22" t="s">
        <v>299</v>
      </c>
      <c r="G14" s="22">
        <v>2024</v>
      </c>
      <c r="H14" s="22" t="s">
        <v>799</v>
      </c>
      <c r="I14" s="22">
        <v>0</v>
      </c>
      <c r="J14" s="22" t="s">
        <v>800</v>
      </c>
      <c r="K14" s="23" t="s">
        <v>801</v>
      </c>
      <c r="L14" s="22" t="s">
        <v>802</v>
      </c>
      <c r="M14" s="22" t="s">
        <v>803</v>
      </c>
      <c r="N14" s="22" t="s">
        <v>804</v>
      </c>
      <c r="O14" s="22" t="s">
        <v>805</v>
      </c>
      <c r="P14" s="22" t="s">
        <v>806</v>
      </c>
      <c r="Q14" s="22" t="s">
        <v>466</v>
      </c>
      <c r="R14" s="22" t="s">
        <v>467</v>
      </c>
      <c r="S14" s="22" t="s">
        <v>468</v>
      </c>
      <c r="T14" s="22" t="s">
        <v>469</v>
      </c>
      <c r="U14" s="22"/>
      <c r="V14" s="22" t="s">
        <v>470</v>
      </c>
      <c r="W14" s="22" t="s">
        <v>471</v>
      </c>
      <c r="X14" s="22" t="s">
        <v>774</v>
      </c>
      <c r="Y14" s="22" t="s">
        <v>775</v>
      </c>
      <c r="Z14" s="22" t="s">
        <v>776</v>
      </c>
      <c r="AA14" s="22" t="s">
        <v>475</v>
      </c>
      <c r="AB14" s="22"/>
      <c r="AC14" s="22"/>
      <c r="AD14" s="25" t="s">
        <v>807</v>
      </c>
      <c r="AE14" s="25" t="s">
        <v>808</v>
      </c>
      <c r="AF14" s="25" t="s">
        <v>809</v>
      </c>
      <c r="AG14" s="25" t="s">
        <v>810</v>
      </c>
      <c r="AH14" s="25" t="s">
        <v>811</v>
      </c>
      <c r="AI14" s="25"/>
      <c r="AJ14" s="25"/>
      <c r="AK14" s="25"/>
      <c r="AL14" s="22" t="s">
        <v>812</v>
      </c>
      <c r="AM14" s="22" t="s">
        <v>513</v>
      </c>
      <c r="AN14" s="22" t="s">
        <v>813</v>
      </c>
      <c r="AO14" s="22"/>
      <c r="AP14" s="22"/>
      <c r="AQ14" s="22"/>
      <c r="AR14" s="1" t="s">
        <v>153</v>
      </c>
      <c r="AS14" s="1" t="s">
        <v>144</v>
      </c>
      <c r="AT14" s="1" t="s">
        <v>116</v>
      </c>
      <c r="AU14" s="1" t="s">
        <v>814</v>
      </c>
      <c r="AV14" s="1" t="s">
        <v>138</v>
      </c>
      <c r="AW14" s="1" t="s">
        <v>815</v>
      </c>
      <c r="AX14" s="1" t="s">
        <v>187</v>
      </c>
      <c r="AY14" s="1" t="s">
        <v>122</v>
      </c>
      <c r="AZ14" s="1" t="s">
        <v>816</v>
      </c>
      <c r="BA14" s="1" t="s">
        <v>223</v>
      </c>
      <c r="BB14" s="1" t="s">
        <v>96</v>
      </c>
      <c r="BC14" s="1" t="s">
        <v>486</v>
      </c>
      <c r="BD14" s="1" t="s">
        <v>96</v>
      </c>
      <c r="BE14" s="1" t="s">
        <v>817</v>
      </c>
      <c r="BF14" s="1" t="s">
        <v>230</v>
      </c>
      <c r="BG14" s="1" t="s">
        <v>818</v>
      </c>
      <c r="BH14" s="1" t="s">
        <v>819</v>
      </c>
      <c r="BI14" s="1" t="s">
        <v>236</v>
      </c>
      <c r="BJ14" s="1" t="s">
        <v>820</v>
      </c>
      <c r="BK14" s="1" t="s">
        <v>220</v>
      </c>
      <c r="BL14" s="1" t="s">
        <v>240</v>
      </c>
      <c r="BM14" s="1" t="s">
        <v>821</v>
      </c>
      <c r="BN14" s="1" t="s">
        <v>761</v>
      </c>
      <c r="BO14" s="26">
        <f>IF(COUNTIF('MMAT Appraisal'!$A$2:$A$60,A14)=0,"",INDEX('MMAT Appraisal'!$K$2:$K$60,MATCH(A14,'MMAT Appraisal'!$A$2:$A$60,0)))</f>
        <v>3</v>
      </c>
      <c r="BP14" s="1" t="str">
        <f t="shared" si="0"/>
        <v>Moderate</v>
      </c>
      <c r="BQ14" s="1" t="s">
        <v>122</v>
      </c>
      <c r="BR14" s="1" t="s">
        <v>122</v>
      </c>
      <c r="BS14" s="1" t="s">
        <v>525</v>
      </c>
      <c r="BT14" s="1" t="s">
        <v>526</v>
      </c>
      <c r="BU14" s="1" t="s">
        <v>494</v>
      </c>
      <c r="BV14" s="1" t="s">
        <v>822</v>
      </c>
    </row>
    <row r="15" spans="1:74" ht="341.25" customHeight="1" x14ac:dyDescent="0.25">
      <c r="A15" s="22">
        <v>14</v>
      </c>
      <c r="B15" s="22"/>
      <c r="C15" s="22" t="s">
        <v>823</v>
      </c>
      <c r="D15" s="22" t="s">
        <v>824</v>
      </c>
      <c r="E15" s="22" t="s">
        <v>825</v>
      </c>
      <c r="F15" s="22" t="s">
        <v>301</v>
      </c>
      <c r="G15" s="22">
        <v>2024</v>
      </c>
      <c r="H15" s="22" t="s">
        <v>826</v>
      </c>
      <c r="I15" s="22">
        <v>0</v>
      </c>
      <c r="J15" s="22" t="s">
        <v>827</v>
      </c>
      <c r="K15" s="23" t="s">
        <v>828</v>
      </c>
      <c r="L15" s="22" t="s">
        <v>829</v>
      </c>
      <c r="M15" s="22" t="s">
        <v>830</v>
      </c>
      <c r="N15" s="22" t="s">
        <v>831</v>
      </c>
      <c r="O15" s="22" t="s">
        <v>832</v>
      </c>
      <c r="P15" s="22"/>
      <c r="Q15" s="22" t="s">
        <v>833</v>
      </c>
      <c r="R15" s="22" t="s">
        <v>467</v>
      </c>
      <c r="S15" s="22" t="s">
        <v>506</v>
      </c>
      <c r="T15" s="22" t="s">
        <v>469</v>
      </c>
      <c r="U15" s="22"/>
      <c r="V15" s="22" t="s">
        <v>470</v>
      </c>
      <c r="W15" s="22" t="s">
        <v>471</v>
      </c>
      <c r="X15" s="22" t="s">
        <v>774</v>
      </c>
      <c r="Y15" s="22" t="s">
        <v>775</v>
      </c>
      <c r="Z15" s="22" t="s">
        <v>776</v>
      </c>
      <c r="AA15" s="22" t="s">
        <v>475</v>
      </c>
      <c r="AB15" s="22"/>
      <c r="AC15" s="22"/>
      <c r="AD15" s="25" t="s">
        <v>834</v>
      </c>
      <c r="AE15" s="25" t="s">
        <v>835</v>
      </c>
      <c r="AF15" s="25" t="s">
        <v>836</v>
      </c>
      <c r="AG15" s="25" t="s">
        <v>837</v>
      </c>
      <c r="AH15" s="25" t="s">
        <v>838</v>
      </c>
      <c r="AI15" s="25"/>
      <c r="AJ15" s="25"/>
      <c r="AK15" s="25"/>
      <c r="AL15" s="22" t="s">
        <v>839</v>
      </c>
      <c r="AM15" s="22" t="s">
        <v>475</v>
      </c>
      <c r="AN15" s="22"/>
      <c r="AO15" s="22"/>
      <c r="AP15" s="22" t="s">
        <v>840</v>
      </c>
      <c r="AQ15" s="22" t="s">
        <v>841</v>
      </c>
      <c r="AR15" s="1" t="s">
        <v>155</v>
      </c>
      <c r="AS15" s="1" t="s">
        <v>144</v>
      </c>
      <c r="AT15" s="1" t="s">
        <v>178</v>
      </c>
      <c r="AU15" s="1" t="s">
        <v>842</v>
      </c>
      <c r="AV15" s="1" t="s">
        <v>133</v>
      </c>
      <c r="AW15" s="1" t="s">
        <v>843</v>
      </c>
      <c r="AX15" s="1" t="s">
        <v>187</v>
      </c>
      <c r="AY15" s="1" t="s">
        <v>125</v>
      </c>
      <c r="AZ15" s="1" t="s">
        <v>485</v>
      </c>
      <c r="BA15" s="1" t="s">
        <v>223</v>
      </c>
      <c r="BB15" s="1" t="s">
        <v>486</v>
      </c>
      <c r="BC15" s="1" t="s">
        <v>94</v>
      </c>
      <c r="BD15" s="1" t="s">
        <v>486</v>
      </c>
      <c r="BE15" s="1" t="s">
        <v>844</v>
      </c>
      <c r="BF15" s="1" t="s">
        <v>231</v>
      </c>
      <c r="BG15" s="1" t="s">
        <v>122</v>
      </c>
      <c r="BH15" s="1" t="s">
        <v>845</v>
      </c>
      <c r="BI15" s="1" t="s">
        <v>234</v>
      </c>
      <c r="BJ15" s="1" t="s">
        <v>846</v>
      </c>
      <c r="BK15" s="1" t="s">
        <v>215</v>
      </c>
      <c r="BL15" s="1" t="s">
        <v>240</v>
      </c>
      <c r="BM15" s="1" t="s">
        <v>847</v>
      </c>
      <c r="BN15" s="1" t="s">
        <v>848</v>
      </c>
      <c r="BO15" s="26">
        <f>IF(COUNTIF('MMAT Appraisal'!$A$2:$A$60,A15)=0,"",INDEX('MMAT Appraisal'!$K$2:$K$60,MATCH(A15,'MMAT Appraisal'!$A$2:$A$60,0)))</f>
        <v>3</v>
      </c>
      <c r="BP15" s="1" t="str">
        <f t="shared" si="0"/>
        <v>Low</v>
      </c>
      <c r="BQ15" s="1" t="s">
        <v>849</v>
      </c>
      <c r="BR15" s="1" t="s">
        <v>257</v>
      </c>
      <c r="BS15" s="1" t="s">
        <v>733</v>
      </c>
      <c r="BT15" s="1" t="s">
        <v>850</v>
      </c>
      <c r="BU15" s="1" t="s">
        <v>494</v>
      </c>
      <c r="BV15" s="1" t="s">
        <v>851</v>
      </c>
    </row>
    <row r="16" spans="1:74" ht="341.25" customHeight="1" x14ac:dyDescent="0.25">
      <c r="A16" s="22">
        <v>15</v>
      </c>
      <c r="B16" s="22"/>
      <c r="C16" s="22" t="s">
        <v>852</v>
      </c>
      <c r="D16" s="22" t="s">
        <v>853</v>
      </c>
      <c r="E16" s="22">
        <v>58222197000</v>
      </c>
      <c r="F16" s="22" t="s">
        <v>303</v>
      </c>
      <c r="G16" s="22">
        <v>2024</v>
      </c>
      <c r="H16" s="22" t="s">
        <v>854</v>
      </c>
      <c r="I16" s="22">
        <v>0</v>
      </c>
      <c r="J16" s="22" t="s">
        <v>855</v>
      </c>
      <c r="K16" s="23" t="s">
        <v>856</v>
      </c>
      <c r="L16" s="22" t="s">
        <v>857</v>
      </c>
      <c r="M16" s="22" t="s">
        <v>858</v>
      </c>
      <c r="N16" s="22" t="s">
        <v>859</v>
      </c>
      <c r="O16" s="22" t="s">
        <v>860</v>
      </c>
      <c r="P16" s="22" t="s">
        <v>861</v>
      </c>
      <c r="Q16" s="22" t="s">
        <v>466</v>
      </c>
      <c r="R16" s="22" t="s">
        <v>467</v>
      </c>
      <c r="S16" s="22" t="s">
        <v>468</v>
      </c>
      <c r="T16" s="22" t="s">
        <v>469</v>
      </c>
      <c r="U16" s="22"/>
      <c r="V16" s="22" t="s">
        <v>470</v>
      </c>
      <c r="W16" s="22" t="s">
        <v>471</v>
      </c>
      <c r="X16" s="22" t="s">
        <v>774</v>
      </c>
      <c r="Y16" s="22" t="s">
        <v>775</v>
      </c>
      <c r="Z16" s="22" t="s">
        <v>776</v>
      </c>
      <c r="AA16" s="22" t="s">
        <v>475</v>
      </c>
      <c r="AB16" s="22"/>
      <c r="AC16" s="22"/>
      <c r="AD16" s="25" t="s">
        <v>862</v>
      </c>
      <c r="AE16" s="25" t="s">
        <v>863</v>
      </c>
      <c r="AF16" s="25" t="s">
        <v>864</v>
      </c>
      <c r="AG16" s="25" t="s">
        <v>865</v>
      </c>
      <c r="AH16" s="25" t="s">
        <v>866</v>
      </c>
      <c r="AI16" s="25"/>
      <c r="AJ16" s="25"/>
      <c r="AK16" s="25"/>
      <c r="AL16" s="22" t="s">
        <v>783</v>
      </c>
      <c r="AM16" s="22" t="s">
        <v>514</v>
      </c>
      <c r="AN16" s="25" t="s">
        <v>867</v>
      </c>
      <c r="AO16" s="22"/>
      <c r="AP16" s="22"/>
      <c r="AQ16" s="22"/>
      <c r="AR16" s="1" t="s">
        <v>156</v>
      </c>
      <c r="AS16" s="1" t="s">
        <v>144</v>
      </c>
      <c r="AT16" s="1" t="s">
        <v>122</v>
      </c>
      <c r="AU16" s="1" t="s">
        <v>868</v>
      </c>
      <c r="AV16" s="1" t="s">
        <v>138</v>
      </c>
      <c r="AW16" s="1" t="s">
        <v>869</v>
      </c>
      <c r="AX16" s="1" t="s">
        <v>188</v>
      </c>
      <c r="AY16" s="1" t="s">
        <v>126</v>
      </c>
      <c r="AZ16" s="1" t="s">
        <v>546</v>
      </c>
      <c r="BA16" s="1" t="s">
        <v>223</v>
      </c>
      <c r="BB16" s="1" t="s">
        <v>486</v>
      </c>
      <c r="BC16" s="1" t="s">
        <v>486</v>
      </c>
      <c r="BD16" s="1" t="s">
        <v>486</v>
      </c>
      <c r="BE16" s="1" t="s">
        <v>870</v>
      </c>
      <c r="BF16" s="1" t="s">
        <v>626</v>
      </c>
      <c r="BG16" s="1" t="s">
        <v>122</v>
      </c>
      <c r="BH16" s="1" t="s">
        <v>223</v>
      </c>
      <c r="BI16" s="1" t="s">
        <v>238</v>
      </c>
      <c r="BJ16" s="1" t="s">
        <v>679</v>
      </c>
      <c r="BK16" s="1" t="s">
        <v>628</v>
      </c>
      <c r="BL16" s="1" t="s">
        <v>285</v>
      </c>
      <c r="BM16" s="1" t="s">
        <v>97</v>
      </c>
      <c r="BN16" s="1" t="s">
        <v>238</v>
      </c>
      <c r="BO16" s="26" t="str">
        <f>IF(COUNTIF('MMAT Appraisal'!$A$2:$A$60,A16)=0,"",INDEX('MMAT Appraisal'!$K$2:$K$60,MATCH(A16,'MMAT Appraisal'!$A$2:$A$60,0)))</f>
        <v/>
      </c>
      <c r="BP16" s="1" t="str">
        <f t="shared" si="0"/>
        <v>Not rated</v>
      </c>
      <c r="BQ16" s="1" t="s">
        <v>122</v>
      </c>
      <c r="BR16" s="1" t="s">
        <v>122</v>
      </c>
      <c r="BS16" s="1" t="s">
        <v>492</v>
      </c>
      <c r="BT16" s="1" t="s">
        <v>871</v>
      </c>
      <c r="BU16" s="1" t="s">
        <v>494</v>
      </c>
      <c r="BV16" s="1" t="s">
        <v>872</v>
      </c>
    </row>
    <row r="17" spans="1:74" ht="341.25" customHeight="1" x14ac:dyDescent="0.25">
      <c r="A17" s="22">
        <v>16</v>
      </c>
      <c r="B17" s="22"/>
      <c r="C17" s="22" t="s">
        <v>873</v>
      </c>
      <c r="D17" s="22" t="s">
        <v>874</v>
      </c>
      <c r="E17" s="22" t="s">
        <v>875</v>
      </c>
      <c r="F17" s="22" t="s">
        <v>305</v>
      </c>
      <c r="G17" s="22">
        <v>2024</v>
      </c>
      <c r="H17" s="22" t="s">
        <v>876</v>
      </c>
      <c r="I17" s="22">
        <v>0</v>
      </c>
      <c r="J17" s="22" t="s">
        <v>877</v>
      </c>
      <c r="K17" s="23" t="s">
        <v>878</v>
      </c>
      <c r="L17" s="22" t="s">
        <v>879</v>
      </c>
      <c r="M17" s="22" t="s">
        <v>880</v>
      </c>
      <c r="N17" s="22" t="s">
        <v>881</v>
      </c>
      <c r="O17" s="22" t="s">
        <v>882</v>
      </c>
      <c r="P17" s="22" t="s">
        <v>883</v>
      </c>
      <c r="Q17" s="22" t="s">
        <v>466</v>
      </c>
      <c r="R17" s="22" t="s">
        <v>467</v>
      </c>
      <c r="S17" s="22" t="s">
        <v>468</v>
      </c>
      <c r="T17" s="22" t="s">
        <v>469</v>
      </c>
      <c r="U17" s="22"/>
      <c r="V17" s="22" t="s">
        <v>470</v>
      </c>
      <c r="W17" s="22" t="s">
        <v>471</v>
      </c>
      <c r="X17" s="22" t="s">
        <v>774</v>
      </c>
      <c r="Y17" s="22" t="s">
        <v>775</v>
      </c>
      <c r="Z17" s="22" t="s">
        <v>776</v>
      </c>
      <c r="AA17" s="22" t="s">
        <v>475</v>
      </c>
      <c r="AB17" s="22"/>
      <c r="AC17" s="22"/>
      <c r="AD17" s="25" t="s">
        <v>884</v>
      </c>
      <c r="AE17" s="25" t="s">
        <v>885</v>
      </c>
      <c r="AF17" s="25" t="s">
        <v>886</v>
      </c>
      <c r="AG17" s="25" t="s">
        <v>887</v>
      </c>
      <c r="AH17" s="25" t="s">
        <v>888</v>
      </c>
      <c r="AI17" s="25"/>
      <c r="AJ17" s="25"/>
      <c r="AK17" s="25"/>
      <c r="AL17" s="22" t="s">
        <v>783</v>
      </c>
      <c r="AM17" s="22" t="s">
        <v>474</v>
      </c>
      <c r="AN17" s="22" t="s">
        <v>476</v>
      </c>
      <c r="AO17" s="22"/>
      <c r="AP17" s="22"/>
      <c r="AQ17" s="22"/>
      <c r="AR17" s="1" t="s">
        <v>157</v>
      </c>
      <c r="AS17" s="1" t="s">
        <v>146</v>
      </c>
      <c r="AT17" s="1" t="s">
        <v>178</v>
      </c>
      <c r="AU17" s="1" t="s">
        <v>889</v>
      </c>
      <c r="AV17" s="1" t="s">
        <v>135</v>
      </c>
      <c r="AW17" s="1" t="s">
        <v>890</v>
      </c>
      <c r="AX17" s="1" t="s">
        <v>189</v>
      </c>
      <c r="AY17" s="1" t="s">
        <v>125</v>
      </c>
      <c r="AZ17" s="1" t="s">
        <v>891</v>
      </c>
      <c r="BA17" s="1" t="s">
        <v>225</v>
      </c>
      <c r="BB17" s="1" t="s">
        <v>94</v>
      </c>
      <c r="BC17" s="1" t="s">
        <v>96</v>
      </c>
      <c r="BD17" s="1" t="s">
        <v>486</v>
      </c>
      <c r="BE17" s="1" t="s">
        <v>892</v>
      </c>
      <c r="BF17" s="1" t="s">
        <v>231</v>
      </c>
      <c r="BG17" s="1" t="s">
        <v>122</v>
      </c>
      <c r="BH17" s="1" t="s">
        <v>893</v>
      </c>
      <c r="BI17" s="1" t="s">
        <v>237</v>
      </c>
      <c r="BJ17" s="1" t="s">
        <v>218</v>
      </c>
      <c r="BK17" s="1" t="s">
        <v>218</v>
      </c>
      <c r="BL17" s="1" t="s">
        <v>241</v>
      </c>
      <c r="BM17" s="1" t="s">
        <v>894</v>
      </c>
      <c r="BN17" s="1" t="s">
        <v>895</v>
      </c>
      <c r="BO17" s="26">
        <f>IF(COUNTIF('MMAT Appraisal'!$A$2:$A$60,A17)=0,"",INDEX('MMAT Appraisal'!$K$2:$K$60,MATCH(A17,'MMAT Appraisal'!$A$2:$A$60,0)))</f>
        <v>0</v>
      </c>
      <c r="BP17" s="1" t="str">
        <f t="shared" si="0"/>
        <v>Low</v>
      </c>
      <c r="BQ17" s="1" t="s">
        <v>896</v>
      </c>
      <c r="BR17" s="1" t="s">
        <v>258</v>
      </c>
      <c r="BS17" s="1" t="s">
        <v>733</v>
      </c>
      <c r="BT17" s="1" t="s">
        <v>897</v>
      </c>
      <c r="BU17" s="1" t="s">
        <v>494</v>
      </c>
      <c r="BV17" s="1" t="s">
        <v>898</v>
      </c>
    </row>
    <row r="18" spans="1:74" ht="341.25" customHeight="1" x14ac:dyDescent="0.25">
      <c r="A18" s="22">
        <v>17</v>
      </c>
      <c r="B18" s="22"/>
      <c r="C18" s="22" t="s">
        <v>899</v>
      </c>
      <c r="D18" s="22" t="s">
        <v>900</v>
      </c>
      <c r="E18" s="22" t="s">
        <v>901</v>
      </c>
      <c r="F18" s="22" t="s">
        <v>307</v>
      </c>
      <c r="G18" s="22">
        <v>2023</v>
      </c>
      <c r="H18" s="22" t="s">
        <v>902</v>
      </c>
      <c r="I18" s="22">
        <v>3</v>
      </c>
      <c r="J18" s="22" t="s">
        <v>903</v>
      </c>
      <c r="K18" s="23" t="s">
        <v>904</v>
      </c>
      <c r="L18" s="22" t="s">
        <v>905</v>
      </c>
      <c r="M18" s="22" t="s">
        <v>906</v>
      </c>
      <c r="N18" s="22" t="s">
        <v>907</v>
      </c>
      <c r="O18" s="22" t="s">
        <v>908</v>
      </c>
      <c r="P18" s="22" t="s">
        <v>909</v>
      </c>
      <c r="Q18" s="22" t="s">
        <v>466</v>
      </c>
      <c r="R18" s="22" t="s">
        <v>467</v>
      </c>
      <c r="S18" s="22" t="s">
        <v>468</v>
      </c>
      <c r="T18" s="22" t="s">
        <v>469</v>
      </c>
      <c r="U18" s="22"/>
      <c r="V18" s="22" t="s">
        <v>470</v>
      </c>
      <c r="W18" s="22" t="s">
        <v>471</v>
      </c>
      <c r="X18" s="22" t="s">
        <v>774</v>
      </c>
      <c r="Y18" s="22" t="s">
        <v>775</v>
      </c>
      <c r="Z18" s="22" t="s">
        <v>776</v>
      </c>
      <c r="AA18" s="22" t="s">
        <v>475</v>
      </c>
      <c r="AB18" s="22"/>
      <c r="AC18" s="22"/>
      <c r="AD18" s="25" t="s">
        <v>910</v>
      </c>
      <c r="AE18" s="25" t="s">
        <v>911</v>
      </c>
      <c r="AF18" s="25" t="s">
        <v>912</v>
      </c>
      <c r="AG18" s="25" t="s">
        <v>913</v>
      </c>
      <c r="AH18" s="25" t="s">
        <v>914</v>
      </c>
      <c r="AI18" s="25"/>
      <c r="AJ18" s="25"/>
      <c r="AK18" s="25"/>
      <c r="AL18" s="22" t="s">
        <v>783</v>
      </c>
      <c r="AM18" s="22" t="s">
        <v>514</v>
      </c>
      <c r="AN18" s="22" t="s">
        <v>476</v>
      </c>
      <c r="AO18" s="22"/>
      <c r="AP18" s="22"/>
      <c r="AQ18" s="22"/>
      <c r="AR18" s="1" t="s">
        <v>153</v>
      </c>
      <c r="AS18" s="1" t="s">
        <v>144</v>
      </c>
      <c r="AT18" s="1" t="s">
        <v>178</v>
      </c>
      <c r="AU18" s="1" t="s">
        <v>915</v>
      </c>
      <c r="AV18" s="1" t="s">
        <v>138</v>
      </c>
      <c r="AW18" s="1" t="s">
        <v>916</v>
      </c>
      <c r="AX18" s="1" t="s">
        <v>187</v>
      </c>
      <c r="AY18" s="1" t="s">
        <v>125</v>
      </c>
      <c r="AZ18" s="1" t="s">
        <v>917</v>
      </c>
      <c r="BA18" s="1" t="s">
        <v>225</v>
      </c>
      <c r="BB18" s="1" t="s">
        <v>486</v>
      </c>
      <c r="BC18" s="1" t="s">
        <v>486</v>
      </c>
      <c r="BD18" s="1" t="s">
        <v>94</v>
      </c>
      <c r="BE18" s="1" t="s">
        <v>918</v>
      </c>
      <c r="BF18" s="1" t="s">
        <v>230</v>
      </c>
      <c r="BG18" s="1" t="s">
        <v>919</v>
      </c>
      <c r="BH18" s="1" t="s">
        <v>920</v>
      </c>
      <c r="BI18" s="1" t="s">
        <v>234</v>
      </c>
      <c r="BJ18" s="1" t="s">
        <v>218</v>
      </c>
      <c r="BK18" s="1" t="s">
        <v>218</v>
      </c>
      <c r="BL18" s="1" t="s">
        <v>241</v>
      </c>
      <c r="BM18" s="1" t="s">
        <v>921</v>
      </c>
      <c r="BN18" s="1" t="s">
        <v>922</v>
      </c>
      <c r="BO18" s="26">
        <f>IF(COUNTIF('MMAT Appraisal'!$A$2:$A$60,A18)=0,"",INDEX('MMAT Appraisal'!$K$2:$K$60,MATCH(A18,'MMAT Appraisal'!$A$2:$A$60,0)))</f>
        <v>3</v>
      </c>
      <c r="BP18" s="1" t="str">
        <f t="shared" si="0"/>
        <v>Moderate</v>
      </c>
      <c r="BQ18" s="1" t="s">
        <v>923</v>
      </c>
      <c r="BR18" s="1" t="s">
        <v>258</v>
      </c>
      <c r="BS18" s="1" t="s">
        <v>733</v>
      </c>
      <c r="BT18" s="1" t="s">
        <v>924</v>
      </c>
      <c r="BU18" s="1" t="s">
        <v>494</v>
      </c>
      <c r="BV18" s="1" t="s">
        <v>925</v>
      </c>
    </row>
    <row r="19" spans="1:74" ht="341.25" customHeight="1" x14ac:dyDescent="0.25">
      <c r="A19" s="22">
        <v>18</v>
      </c>
      <c r="B19" s="22"/>
      <c r="C19" s="22" t="s">
        <v>926</v>
      </c>
      <c r="D19" s="22" t="s">
        <v>927</v>
      </c>
      <c r="E19" s="22" t="s">
        <v>928</v>
      </c>
      <c r="F19" s="22" t="s">
        <v>309</v>
      </c>
      <c r="G19" s="22">
        <v>2023</v>
      </c>
      <c r="H19" s="22" t="s">
        <v>929</v>
      </c>
      <c r="I19" s="22">
        <v>1</v>
      </c>
      <c r="J19" s="22" t="s">
        <v>930</v>
      </c>
      <c r="K19" s="23" t="s">
        <v>931</v>
      </c>
      <c r="L19" s="22" t="s">
        <v>932</v>
      </c>
      <c r="M19" s="22" t="s">
        <v>933</v>
      </c>
      <c r="N19" s="22" t="s">
        <v>934</v>
      </c>
      <c r="O19" s="22" t="s">
        <v>935</v>
      </c>
      <c r="P19" s="22" t="s">
        <v>936</v>
      </c>
      <c r="Q19" s="22" t="s">
        <v>466</v>
      </c>
      <c r="R19" s="22" t="s">
        <v>467</v>
      </c>
      <c r="S19" s="22" t="s">
        <v>468</v>
      </c>
      <c r="T19" s="22" t="s">
        <v>469</v>
      </c>
      <c r="U19" s="22"/>
      <c r="V19" s="22" t="s">
        <v>470</v>
      </c>
      <c r="W19" s="22" t="s">
        <v>471</v>
      </c>
      <c r="X19" s="22" t="s">
        <v>774</v>
      </c>
      <c r="Y19" s="22" t="s">
        <v>775</v>
      </c>
      <c r="Z19" s="22" t="s">
        <v>776</v>
      </c>
      <c r="AA19" s="22" t="s">
        <v>475</v>
      </c>
      <c r="AB19" s="22" t="s">
        <v>937</v>
      </c>
      <c r="AC19" s="22"/>
      <c r="AD19" s="25" t="s">
        <v>938</v>
      </c>
      <c r="AE19" s="25" t="s">
        <v>939</v>
      </c>
      <c r="AF19" s="25" t="s">
        <v>940</v>
      </c>
      <c r="AG19" s="25" t="s">
        <v>941</v>
      </c>
      <c r="AH19" s="25" t="s">
        <v>942</v>
      </c>
      <c r="AI19" s="25"/>
      <c r="AJ19" s="25"/>
      <c r="AK19" s="25"/>
      <c r="AL19" s="22" t="s">
        <v>783</v>
      </c>
      <c r="AM19" s="22" t="s">
        <v>513</v>
      </c>
      <c r="AN19" s="22" t="s">
        <v>943</v>
      </c>
      <c r="AO19" s="22"/>
      <c r="AP19" s="22"/>
      <c r="AQ19" s="22"/>
      <c r="AR19" s="1" t="s">
        <v>152</v>
      </c>
      <c r="AS19" s="1" t="s">
        <v>146</v>
      </c>
      <c r="AT19" s="1" t="s">
        <v>119</v>
      </c>
      <c r="AU19" s="1" t="s">
        <v>944</v>
      </c>
      <c r="AV19" s="1" t="s">
        <v>138</v>
      </c>
      <c r="AW19" s="1" t="s">
        <v>945</v>
      </c>
      <c r="AX19" s="1" t="s">
        <v>187</v>
      </c>
      <c r="AY19" s="1" t="s">
        <v>128</v>
      </c>
      <c r="AZ19" s="1" t="s">
        <v>128</v>
      </c>
      <c r="BA19" s="1" t="s">
        <v>223</v>
      </c>
      <c r="BB19" s="1" t="s">
        <v>94</v>
      </c>
      <c r="BC19" s="1" t="s">
        <v>94</v>
      </c>
      <c r="BD19" s="1" t="s">
        <v>486</v>
      </c>
      <c r="BE19" s="1" t="s">
        <v>946</v>
      </c>
      <c r="BF19" s="1" t="s">
        <v>231</v>
      </c>
      <c r="BG19" s="1" t="s">
        <v>122</v>
      </c>
      <c r="BH19" s="1" t="s">
        <v>947</v>
      </c>
      <c r="BI19" s="1" t="s">
        <v>237</v>
      </c>
      <c r="BJ19" s="1" t="s">
        <v>489</v>
      </c>
      <c r="BK19" s="1" t="s">
        <v>215</v>
      </c>
      <c r="BL19" s="1" t="s">
        <v>240</v>
      </c>
      <c r="BM19" s="1" t="s">
        <v>948</v>
      </c>
      <c r="BN19" s="1" t="s">
        <v>949</v>
      </c>
      <c r="BO19" s="26">
        <f>IF(COUNTIF('MMAT Appraisal'!$A$2:$A$60,A19)=0,"",INDEX('MMAT Appraisal'!$K$2:$K$60,MATCH(A19,'MMAT Appraisal'!$A$2:$A$60,0)))</f>
        <v>3</v>
      </c>
      <c r="BP19" s="1" t="str">
        <f t="shared" si="0"/>
        <v>Low</v>
      </c>
      <c r="BQ19" s="1" t="s">
        <v>122</v>
      </c>
      <c r="BR19" s="1" t="s">
        <v>122</v>
      </c>
      <c r="BS19" s="1" t="s">
        <v>525</v>
      </c>
      <c r="BT19" s="1" t="s">
        <v>526</v>
      </c>
      <c r="BU19" s="1" t="s">
        <v>494</v>
      </c>
      <c r="BV19" s="1" t="s">
        <v>950</v>
      </c>
    </row>
    <row r="20" spans="1:74" ht="341.25" customHeight="1" x14ac:dyDescent="0.25">
      <c r="A20" s="22">
        <v>19</v>
      </c>
      <c r="B20" s="22"/>
      <c r="C20" s="22" t="s">
        <v>951</v>
      </c>
      <c r="D20" s="22" t="s">
        <v>952</v>
      </c>
      <c r="E20" s="22" t="s">
        <v>953</v>
      </c>
      <c r="F20" s="22" t="s">
        <v>311</v>
      </c>
      <c r="G20" s="22">
        <v>2023</v>
      </c>
      <c r="H20" s="22" t="s">
        <v>954</v>
      </c>
      <c r="I20" s="22">
        <v>0</v>
      </c>
      <c r="J20" s="22" t="s">
        <v>955</v>
      </c>
      <c r="K20" s="23" t="s">
        <v>956</v>
      </c>
      <c r="L20" s="22" t="s">
        <v>957</v>
      </c>
      <c r="M20" s="22" t="s">
        <v>958</v>
      </c>
      <c r="N20" s="22" t="s">
        <v>959</v>
      </c>
      <c r="O20" s="22" t="s">
        <v>960</v>
      </c>
      <c r="P20" s="22" t="s">
        <v>961</v>
      </c>
      <c r="Q20" s="22" t="s">
        <v>466</v>
      </c>
      <c r="R20" s="22" t="s">
        <v>467</v>
      </c>
      <c r="S20" s="22" t="s">
        <v>468</v>
      </c>
      <c r="T20" s="22" t="s">
        <v>469</v>
      </c>
      <c r="U20" s="22"/>
      <c r="V20" s="22" t="s">
        <v>470</v>
      </c>
      <c r="W20" s="22" t="s">
        <v>471</v>
      </c>
      <c r="X20" s="22" t="s">
        <v>774</v>
      </c>
      <c r="Y20" s="22" t="s">
        <v>775</v>
      </c>
      <c r="Z20" s="22" t="s">
        <v>776</v>
      </c>
      <c r="AA20" s="22" t="s">
        <v>475</v>
      </c>
      <c r="AB20" s="22"/>
      <c r="AC20" s="22"/>
      <c r="AD20" s="25" t="s">
        <v>962</v>
      </c>
      <c r="AE20" s="25" t="s">
        <v>963</v>
      </c>
      <c r="AF20" s="25" t="s">
        <v>964</v>
      </c>
      <c r="AG20" s="25" t="s">
        <v>965</v>
      </c>
      <c r="AH20" s="25" t="s">
        <v>966</v>
      </c>
      <c r="AI20" s="25"/>
      <c r="AJ20" s="25"/>
      <c r="AK20" s="25"/>
      <c r="AL20" s="22"/>
      <c r="AM20" s="22" t="s">
        <v>475</v>
      </c>
      <c r="AN20" s="22" t="s">
        <v>967</v>
      </c>
      <c r="AO20" s="22"/>
      <c r="AP20" s="22"/>
      <c r="AQ20" s="22"/>
      <c r="AR20" s="1" t="s">
        <v>156</v>
      </c>
      <c r="AS20" s="1" t="s">
        <v>144</v>
      </c>
      <c r="AT20" s="1" t="s">
        <v>122</v>
      </c>
      <c r="AU20" s="1" t="s">
        <v>868</v>
      </c>
      <c r="AV20" s="1" t="s">
        <v>135</v>
      </c>
      <c r="AW20" s="1" t="s">
        <v>968</v>
      </c>
      <c r="AX20" s="1" t="s">
        <v>188</v>
      </c>
      <c r="AY20" s="1" t="s">
        <v>129</v>
      </c>
      <c r="AZ20" s="1" t="s">
        <v>969</v>
      </c>
      <c r="BA20" s="1" t="s">
        <v>223</v>
      </c>
      <c r="BB20" s="1" t="s">
        <v>486</v>
      </c>
      <c r="BC20" s="1" t="s">
        <v>486</v>
      </c>
      <c r="BD20" s="1" t="s">
        <v>486</v>
      </c>
      <c r="BE20" s="1" t="s">
        <v>870</v>
      </c>
      <c r="BF20" s="1" t="s">
        <v>626</v>
      </c>
      <c r="BG20" s="1" t="s">
        <v>122</v>
      </c>
      <c r="BH20" s="1" t="s">
        <v>223</v>
      </c>
      <c r="BI20" s="1" t="s">
        <v>238</v>
      </c>
      <c r="BJ20" s="1" t="s">
        <v>679</v>
      </c>
      <c r="BK20" s="1" t="s">
        <v>628</v>
      </c>
      <c r="BL20" s="1" t="s">
        <v>285</v>
      </c>
      <c r="BM20" s="1" t="s">
        <v>97</v>
      </c>
      <c r="BN20" s="1" t="s">
        <v>238</v>
      </c>
      <c r="BO20" s="26" t="str">
        <f>IF(COUNTIF('MMAT Appraisal'!$A$2:$A$60,A20)=0,"",INDEX('MMAT Appraisal'!$K$2:$K$60,MATCH(A20,'MMAT Appraisal'!$A$2:$A$60,0)))</f>
        <v/>
      </c>
      <c r="BP20" s="1" t="str">
        <f t="shared" si="0"/>
        <v>Not rated</v>
      </c>
      <c r="BQ20" s="1" t="s">
        <v>122</v>
      </c>
      <c r="BR20" s="1" t="s">
        <v>122</v>
      </c>
      <c r="BS20" s="1" t="s">
        <v>492</v>
      </c>
      <c r="BT20" s="1" t="s">
        <v>970</v>
      </c>
      <c r="BU20" s="1" t="s">
        <v>494</v>
      </c>
      <c r="BV20" s="1" t="s">
        <v>971</v>
      </c>
    </row>
    <row r="21" spans="1:74" ht="341.25" customHeight="1" x14ac:dyDescent="0.25">
      <c r="A21" s="22">
        <v>20</v>
      </c>
      <c r="B21" s="22"/>
      <c r="C21" s="22" t="s">
        <v>972</v>
      </c>
      <c r="D21" s="22" t="s">
        <v>973</v>
      </c>
      <c r="E21" s="22" t="s">
        <v>974</v>
      </c>
      <c r="F21" s="22" t="s">
        <v>312</v>
      </c>
      <c r="G21" s="22">
        <v>2023</v>
      </c>
      <c r="H21" s="22" t="s">
        <v>975</v>
      </c>
      <c r="I21" s="22">
        <v>0</v>
      </c>
      <c r="J21" s="22" t="s">
        <v>976</v>
      </c>
      <c r="K21" s="23" t="s">
        <v>977</v>
      </c>
      <c r="L21" s="22" t="s">
        <v>978</v>
      </c>
      <c r="M21" s="22" t="s">
        <v>979</v>
      </c>
      <c r="N21" s="22" t="s">
        <v>980</v>
      </c>
      <c r="O21" s="22" t="s">
        <v>981</v>
      </c>
      <c r="P21" s="22"/>
      <c r="Q21" s="22" t="s">
        <v>982</v>
      </c>
      <c r="R21" s="22" t="s">
        <v>467</v>
      </c>
      <c r="S21" s="22" t="s">
        <v>506</v>
      </c>
      <c r="T21" s="22" t="s">
        <v>469</v>
      </c>
      <c r="U21" s="22" t="s">
        <v>564</v>
      </c>
      <c r="V21" s="22" t="s">
        <v>470</v>
      </c>
      <c r="W21" s="22" t="s">
        <v>471</v>
      </c>
      <c r="X21" s="22" t="s">
        <v>774</v>
      </c>
      <c r="Y21" s="22" t="s">
        <v>775</v>
      </c>
      <c r="Z21" s="22" t="s">
        <v>776</v>
      </c>
      <c r="AA21" s="22" t="s">
        <v>475</v>
      </c>
      <c r="AB21" s="22"/>
      <c r="AC21" s="22"/>
      <c r="AD21" s="25" t="s">
        <v>983</v>
      </c>
      <c r="AE21" s="25" t="s">
        <v>984</v>
      </c>
      <c r="AF21" s="25" t="s">
        <v>985</v>
      </c>
      <c r="AG21" s="25" t="s">
        <v>986</v>
      </c>
      <c r="AH21" s="25" t="s">
        <v>987</v>
      </c>
      <c r="AI21" s="25"/>
      <c r="AJ21" s="25"/>
      <c r="AK21" s="25"/>
      <c r="AL21" s="22" t="s">
        <v>783</v>
      </c>
      <c r="AM21" s="22" t="s">
        <v>514</v>
      </c>
      <c r="AN21" s="22" t="s">
        <v>476</v>
      </c>
      <c r="AO21" s="22"/>
      <c r="AP21" s="22"/>
      <c r="AQ21" s="22"/>
      <c r="AR21" s="1" t="s">
        <v>170</v>
      </c>
      <c r="AS21" s="1" t="s">
        <v>148</v>
      </c>
      <c r="AT21" s="1" t="s">
        <v>118</v>
      </c>
      <c r="AU21" s="1" t="s">
        <v>988</v>
      </c>
      <c r="AV21" s="1" t="s">
        <v>138</v>
      </c>
      <c r="AW21" s="1" t="s">
        <v>989</v>
      </c>
      <c r="AX21" s="1" t="s">
        <v>187</v>
      </c>
      <c r="AY21" s="1" t="s">
        <v>125</v>
      </c>
      <c r="AZ21" s="1" t="s">
        <v>677</v>
      </c>
      <c r="BA21" s="1" t="s">
        <v>223</v>
      </c>
      <c r="BB21" s="1" t="s">
        <v>94</v>
      </c>
      <c r="BC21" s="1" t="s">
        <v>94</v>
      </c>
      <c r="BD21" s="1" t="s">
        <v>94</v>
      </c>
      <c r="BE21" s="1" t="s">
        <v>990</v>
      </c>
      <c r="BF21" s="1" t="s">
        <v>231</v>
      </c>
      <c r="BG21" s="1" t="s">
        <v>122</v>
      </c>
      <c r="BH21" s="1" t="s">
        <v>991</v>
      </c>
      <c r="BI21" s="1" t="s">
        <v>237</v>
      </c>
      <c r="BJ21" s="1" t="s">
        <v>992</v>
      </c>
      <c r="BK21" s="1" t="s">
        <v>217</v>
      </c>
      <c r="BL21" s="1" t="s">
        <v>240</v>
      </c>
      <c r="BM21" s="1" t="s">
        <v>993</v>
      </c>
      <c r="BN21" s="1" t="s">
        <v>491</v>
      </c>
      <c r="BO21" s="26">
        <f>IF(COUNTIF('MMAT Appraisal'!$A$2:$A$60,A21)=0,"",INDEX('MMAT Appraisal'!$K$2:$K$60,MATCH(A21,'MMAT Appraisal'!$A$2:$A$60,0)))</f>
        <v>2</v>
      </c>
      <c r="BP21" s="1" t="str">
        <f t="shared" si="0"/>
        <v>Low</v>
      </c>
      <c r="BQ21" s="1" t="s">
        <v>994</v>
      </c>
      <c r="BR21" s="1" t="s">
        <v>257</v>
      </c>
      <c r="BS21" s="1" t="s">
        <v>525</v>
      </c>
      <c r="BT21" s="1" t="s">
        <v>526</v>
      </c>
      <c r="BU21" s="1" t="s">
        <v>494</v>
      </c>
      <c r="BV21" s="1" t="s">
        <v>995</v>
      </c>
    </row>
    <row r="22" spans="1:74" ht="341.25" customHeight="1" x14ac:dyDescent="0.25">
      <c r="A22" s="22">
        <v>21</v>
      </c>
      <c r="B22" s="22"/>
      <c r="C22" s="22" t="s">
        <v>996</v>
      </c>
      <c r="D22" s="22" t="s">
        <v>997</v>
      </c>
      <c r="E22" s="22" t="s">
        <v>998</v>
      </c>
      <c r="F22" s="22" t="s">
        <v>314</v>
      </c>
      <c r="G22" s="22">
        <v>2022</v>
      </c>
      <c r="H22" s="22" t="s">
        <v>999</v>
      </c>
      <c r="I22" s="22">
        <v>9</v>
      </c>
      <c r="J22" s="22" t="s">
        <v>1000</v>
      </c>
      <c r="K22" s="23" t="s">
        <v>1001</v>
      </c>
      <c r="L22" s="22" t="s">
        <v>1002</v>
      </c>
      <c r="M22" s="22" t="s">
        <v>1003</v>
      </c>
      <c r="N22" s="22" t="s">
        <v>1004</v>
      </c>
      <c r="O22" s="22" t="s">
        <v>1005</v>
      </c>
      <c r="P22" s="22" t="s">
        <v>1006</v>
      </c>
      <c r="Q22" s="22" t="s">
        <v>1007</v>
      </c>
      <c r="R22" s="22" t="s">
        <v>467</v>
      </c>
      <c r="S22" s="22" t="s">
        <v>468</v>
      </c>
      <c r="T22" s="22" t="s">
        <v>469</v>
      </c>
      <c r="U22" s="22" t="s">
        <v>1008</v>
      </c>
      <c r="V22" s="22" t="s">
        <v>470</v>
      </c>
      <c r="W22" s="22" t="s">
        <v>471</v>
      </c>
      <c r="X22" s="22" t="s">
        <v>774</v>
      </c>
      <c r="Y22" s="22" t="s">
        <v>775</v>
      </c>
      <c r="Z22" s="22" t="s">
        <v>776</v>
      </c>
      <c r="AA22" s="22" t="s">
        <v>475</v>
      </c>
      <c r="AB22" s="22"/>
      <c r="AC22" s="22"/>
      <c r="AD22" s="25" t="s">
        <v>1009</v>
      </c>
      <c r="AE22" s="25" t="s">
        <v>1010</v>
      </c>
      <c r="AF22" s="25" t="s">
        <v>1011</v>
      </c>
      <c r="AG22" s="25" t="s">
        <v>1012</v>
      </c>
      <c r="AH22" s="25" t="s">
        <v>1013</v>
      </c>
      <c r="AI22" s="25"/>
      <c r="AJ22" s="25"/>
      <c r="AK22" s="25"/>
      <c r="AL22" s="22" t="s">
        <v>1014</v>
      </c>
      <c r="AM22" s="22" t="s">
        <v>474</v>
      </c>
      <c r="AN22" s="22" t="s">
        <v>476</v>
      </c>
      <c r="AO22" s="22"/>
      <c r="AP22" s="22" t="s">
        <v>1015</v>
      </c>
      <c r="AQ22" s="22" t="s">
        <v>1016</v>
      </c>
      <c r="AR22" s="1" t="s">
        <v>173</v>
      </c>
      <c r="AS22" s="1" t="s">
        <v>144</v>
      </c>
      <c r="AT22" s="1" t="s">
        <v>122</v>
      </c>
      <c r="AU22" s="1" t="s">
        <v>1017</v>
      </c>
      <c r="AV22" s="1" t="s">
        <v>132</v>
      </c>
      <c r="AW22" s="1" t="s">
        <v>1018</v>
      </c>
      <c r="AX22" s="1" t="s">
        <v>190</v>
      </c>
      <c r="AY22" s="1" t="s">
        <v>125</v>
      </c>
      <c r="AZ22" s="1" t="s">
        <v>1019</v>
      </c>
      <c r="BA22" s="1" t="s">
        <v>223</v>
      </c>
      <c r="BB22" s="1" t="s">
        <v>486</v>
      </c>
      <c r="BC22" s="1" t="s">
        <v>486</v>
      </c>
      <c r="BD22" s="1" t="s">
        <v>486</v>
      </c>
      <c r="BE22" s="1" t="s">
        <v>1020</v>
      </c>
      <c r="BF22" s="1" t="s">
        <v>626</v>
      </c>
      <c r="BG22" s="1" t="s">
        <v>122</v>
      </c>
      <c r="BH22" s="1" t="s">
        <v>1021</v>
      </c>
      <c r="BI22" s="1" t="s">
        <v>238</v>
      </c>
      <c r="BJ22" s="1" t="s">
        <v>1022</v>
      </c>
      <c r="BK22" s="1" t="s">
        <v>628</v>
      </c>
      <c r="BL22" s="1" t="s">
        <v>285</v>
      </c>
      <c r="BM22" s="1" t="s">
        <v>1023</v>
      </c>
      <c r="BN22" s="1" t="s">
        <v>1024</v>
      </c>
      <c r="BO22" s="26" t="str">
        <f>IF(COUNTIF('MMAT Appraisal'!$A$2:$A$60,A22)=0,"",INDEX('MMAT Appraisal'!$K$2:$K$60,MATCH(A22,'MMAT Appraisal'!$A$2:$A$60,0)))</f>
        <v/>
      </c>
      <c r="BP22" s="1" t="str">
        <f t="shared" si="0"/>
        <v>Not rated</v>
      </c>
      <c r="BQ22" s="1" t="s">
        <v>122</v>
      </c>
      <c r="BR22" s="1" t="s">
        <v>122</v>
      </c>
      <c r="BS22" s="1" t="s">
        <v>492</v>
      </c>
      <c r="BT22" s="1" t="s">
        <v>1025</v>
      </c>
      <c r="BU22" s="1" t="s">
        <v>494</v>
      </c>
      <c r="BV22" s="1" t="s">
        <v>1026</v>
      </c>
    </row>
    <row r="23" spans="1:74" ht="341.25" customHeight="1" x14ac:dyDescent="0.25">
      <c r="A23" s="22">
        <v>22</v>
      </c>
      <c r="B23" s="22"/>
      <c r="C23" s="22" t="s">
        <v>1027</v>
      </c>
      <c r="D23" s="22" t="s">
        <v>1028</v>
      </c>
      <c r="E23" s="22" t="s">
        <v>1029</v>
      </c>
      <c r="F23" s="22" t="s">
        <v>316</v>
      </c>
      <c r="G23" s="22">
        <v>2022</v>
      </c>
      <c r="H23" s="22" t="s">
        <v>1030</v>
      </c>
      <c r="I23" s="22">
        <v>4</v>
      </c>
      <c r="J23" s="22" t="s">
        <v>1031</v>
      </c>
      <c r="K23" s="23" t="s">
        <v>1032</v>
      </c>
      <c r="L23" s="22" t="s">
        <v>1033</v>
      </c>
      <c r="M23" s="22" t="s">
        <v>1034</v>
      </c>
      <c r="N23" s="22" t="s">
        <v>1035</v>
      </c>
      <c r="O23" s="22"/>
      <c r="P23" s="22" t="s">
        <v>1036</v>
      </c>
      <c r="Q23" s="22" t="s">
        <v>1037</v>
      </c>
      <c r="R23" s="22" t="s">
        <v>467</v>
      </c>
      <c r="S23" s="22" t="s">
        <v>506</v>
      </c>
      <c r="T23" s="22" t="s">
        <v>469</v>
      </c>
      <c r="U23" s="22" t="s">
        <v>564</v>
      </c>
      <c r="V23" s="22" t="s">
        <v>470</v>
      </c>
      <c r="W23" s="22" t="s">
        <v>471</v>
      </c>
      <c r="X23" s="22" t="s">
        <v>774</v>
      </c>
      <c r="Y23" s="22" t="s">
        <v>775</v>
      </c>
      <c r="Z23" s="22" t="s">
        <v>776</v>
      </c>
      <c r="AA23" s="22" t="s">
        <v>475</v>
      </c>
      <c r="AB23" s="22"/>
      <c r="AC23" s="22"/>
      <c r="AD23" s="25" t="s">
        <v>1038</v>
      </c>
      <c r="AE23" s="25" t="s">
        <v>1039</v>
      </c>
      <c r="AF23" s="25" t="s">
        <v>1040</v>
      </c>
      <c r="AG23" s="25" t="s">
        <v>1041</v>
      </c>
      <c r="AH23" s="25" t="s">
        <v>1042</v>
      </c>
      <c r="AI23" s="25"/>
      <c r="AJ23" s="25"/>
      <c r="AK23" s="25"/>
      <c r="AL23" s="22" t="s">
        <v>783</v>
      </c>
      <c r="AM23" s="22" t="s">
        <v>513</v>
      </c>
      <c r="AN23" s="22" t="s">
        <v>476</v>
      </c>
      <c r="AO23" s="22"/>
      <c r="AP23" s="22"/>
      <c r="AQ23" s="22"/>
      <c r="AR23" s="1" t="s">
        <v>153</v>
      </c>
      <c r="AS23" s="1" t="s">
        <v>144</v>
      </c>
      <c r="AT23" s="1" t="s">
        <v>177</v>
      </c>
      <c r="AU23" s="1" t="s">
        <v>1043</v>
      </c>
      <c r="AV23" s="1" t="s">
        <v>138</v>
      </c>
      <c r="AW23" s="1" t="s">
        <v>1044</v>
      </c>
      <c r="AX23" s="1" t="s">
        <v>1045</v>
      </c>
      <c r="AY23" s="1" t="s">
        <v>122</v>
      </c>
      <c r="AZ23" s="1" t="s">
        <v>1046</v>
      </c>
      <c r="BA23" s="1" t="s">
        <v>224</v>
      </c>
      <c r="BB23" s="1" t="s">
        <v>94</v>
      </c>
      <c r="BC23" s="1" t="s">
        <v>94</v>
      </c>
      <c r="BD23" s="1" t="s">
        <v>486</v>
      </c>
      <c r="BE23" s="1" t="s">
        <v>1047</v>
      </c>
      <c r="BF23" s="1" t="s">
        <v>230</v>
      </c>
      <c r="BG23" s="1" t="s">
        <v>122</v>
      </c>
      <c r="BH23" s="1" t="s">
        <v>1048</v>
      </c>
      <c r="BI23" s="1" t="s">
        <v>236</v>
      </c>
      <c r="BJ23" s="1" t="s">
        <v>1049</v>
      </c>
      <c r="BK23" s="1" t="s">
        <v>219</v>
      </c>
      <c r="BL23" s="1" t="s">
        <v>285</v>
      </c>
      <c r="BM23" s="1" t="s">
        <v>122</v>
      </c>
      <c r="BN23" s="1"/>
      <c r="BO23" s="26" t="str">
        <f>IF(COUNTIF('MMAT Appraisal'!$A$2:$A$60,A23)=0,"",INDEX('MMAT Appraisal'!$K$2:$K$60,MATCH(A23,'MMAT Appraisal'!$A$2:$A$60,0)))</f>
        <v/>
      </c>
      <c r="BP23" s="1" t="str">
        <f t="shared" si="0"/>
        <v>Not rated</v>
      </c>
      <c r="BQ23" s="1" t="s">
        <v>122</v>
      </c>
      <c r="BR23" s="1" t="s">
        <v>122</v>
      </c>
      <c r="BS23" s="1" t="s">
        <v>492</v>
      </c>
      <c r="BT23" s="1" t="s">
        <v>1050</v>
      </c>
      <c r="BU23" s="1" t="s">
        <v>494</v>
      </c>
      <c r="BV23" s="1" t="s">
        <v>1051</v>
      </c>
    </row>
    <row r="24" spans="1:74" ht="341.25" customHeight="1" x14ac:dyDescent="0.25">
      <c r="A24" s="22">
        <v>23</v>
      </c>
      <c r="B24" s="22"/>
      <c r="C24" s="22" t="s">
        <v>1052</v>
      </c>
      <c r="D24" s="22" t="s">
        <v>1053</v>
      </c>
      <c r="E24" s="22" t="s">
        <v>1054</v>
      </c>
      <c r="F24" s="22" t="s">
        <v>318</v>
      </c>
      <c r="G24" s="22">
        <v>2022</v>
      </c>
      <c r="H24" s="22" t="s">
        <v>1055</v>
      </c>
      <c r="I24" s="22">
        <v>1</v>
      </c>
      <c r="J24" s="22" t="s">
        <v>1056</v>
      </c>
      <c r="K24" s="23" t="s">
        <v>1057</v>
      </c>
      <c r="L24" s="22" t="s">
        <v>1058</v>
      </c>
      <c r="M24" s="22" t="s">
        <v>1059</v>
      </c>
      <c r="N24" s="22" t="s">
        <v>1060</v>
      </c>
      <c r="O24" s="22" t="s">
        <v>1061</v>
      </c>
      <c r="P24" s="22" t="s">
        <v>1062</v>
      </c>
      <c r="Q24" s="22" t="s">
        <v>1063</v>
      </c>
      <c r="R24" s="22" t="s">
        <v>467</v>
      </c>
      <c r="S24" s="22" t="s">
        <v>468</v>
      </c>
      <c r="T24" s="22" t="s">
        <v>469</v>
      </c>
      <c r="U24" s="22"/>
      <c r="V24" s="22" t="s">
        <v>470</v>
      </c>
      <c r="W24" s="22" t="s">
        <v>471</v>
      </c>
      <c r="X24" s="22" t="s">
        <v>774</v>
      </c>
      <c r="Y24" s="22" t="s">
        <v>775</v>
      </c>
      <c r="Z24" s="22" t="s">
        <v>776</v>
      </c>
      <c r="AA24" s="22" t="s">
        <v>475</v>
      </c>
      <c r="AB24" s="22"/>
      <c r="AC24" s="22"/>
      <c r="AD24" s="25" t="s">
        <v>1064</v>
      </c>
      <c r="AE24" s="25" t="s">
        <v>1065</v>
      </c>
      <c r="AF24" s="25" t="s">
        <v>1066</v>
      </c>
      <c r="AG24" s="25" t="s">
        <v>1067</v>
      </c>
      <c r="AH24" s="25" t="s">
        <v>1068</v>
      </c>
      <c r="AI24" s="25"/>
      <c r="AJ24" s="25"/>
      <c r="AK24" s="25"/>
      <c r="AL24" s="22" t="s">
        <v>783</v>
      </c>
      <c r="AM24" s="22" t="s">
        <v>475</v>
      </c>
      <c r="AN24" s="22" t="s">
        <v>1069</v>
      </c>
      <c r="AO24" s="22"/>
      <c r="AP24" s="22"/>
      <c r="AQ24" s="22"/>
      <c r="AR24" s="1" t="s">
        <v>169</v>
      </c>
      <c r="AS24" s="1" t="s">
        <v>145</v>
      </c>
      <c r="AT24" s="1" t="s">
        <v>178</v>
      </c>
      <c r="AU24" s="1" t="s">
        <v>1070</v>
      </c>
      <c r="AV24" s="1" t="s">
        <v>137</v>
      </c>
      <c r="AW24" s="1" t="s">
        <v>1071</v>
      </c>
      <c r="AX24" s="1" t="s">
        <v>193</v>
      </c>
      <c r="AY24" s="1" t="s">
        <v>127</v>
      </c>
      <c r="AZ24" s="1" t="s">
        <v>1072</v>
      </c>
      <c r="BA24" s="1" t="s">
        <v>223</v>
      </c>
      <c r="BB24" s="1" t="s">
        <v>486</v>
      </c>
      <c r="BC24" s="1" t="s">
        <v>95</v>
      </c>
      <c r="BD24" s="1" t="s">
        <v>94</v>
      </c>
      <c r="BE24" s="1" t="s">
        <v>1073</v>
      </c>
      <c r="BF24" s="1" t="s">
        <v>231</v>
      </c>
      <c r="BG24" s="1" t="s">
        <v>122</v>
      </c>
      <c r="BH24" s="1" t="s">
        <v>1074</v>
      </c>
      <c r="BI24" s="1" t="s">
        <v>234</v>
      </c>
      <c r="BJ24" s="1" t="s">
        <v>489</v>
      </c>
      <c r="BK24" s="1" t="s">
        <v>215</v>
      </c>
      <c r="BL24" s="1" t="s">
        <v>240</v>
      </c>
      <c r="BM24" s="1" t="s">
        <v>1075</v>
      </c>
      <c r="BN24" s="1" t="s">
        <v>1076</v>
      </c>
      <c r="BO24" s="26">
        <f>IF(COUNTIF('MMAT Appraisal'!$A$2:$A$60,A24)=0,"",INDEX('MMAT Appraisal'!$K$2:$K$60,MATCH(A24,'MMAT Appraisal'!$A$2:$A$60,0)))</f>
        <v>3</v>
      </c>
      <c r="BP24" s="1" t="str">
        <f t="shared" si="0"/>
        <v>Low</v>
      </c>
      <c r="BQ24" s="1" t="s">
        <v>1077</v>
      </c>
      <c r="BR24" s="1" t="s">
        <v>258</v>
      </c>
      <c r="BS24" s="1" t="s">
        <v>733</v>
      </c>
      <c r="BT24" s="1" t="s">
        <v>1078</v>
      </c>
      <c r="BU24" s="1" t="s">
        <v>494</v>
      </c>
      <c r="BV24" s="1" t="s">
        <v>1079</v>
      </c>
    </row>
    <row r="25" spans="1:74" ht="341.25" customHeight="1" x14ac:dyDescent="0.25">
      <c r="A25" s="22">
        <v>24</v>
      </c>
      <c r="B25" s="22"/>
      <c r="C25" s="22" t="s">
        <v>1080</v>
      </c>
      <c r="D25" s="22" t="s">
        <v>1081</v>
      </c>
      <c r="E25" s="22" t="s">
        <v>1082</v>
      </c>
      <c r="F25" s="22" t="s">
        <v>320</v>
      </c>
      <c r="G25" s="22">
        <v>2022</v>
      </c>
      <c r="H25" s="22" t="s">
        <v>1083</v>
      </c>
      <c r="I25" s="22">
        <v>1</v>
      </c>
      <c r="J25" s="22"/>
      <c r="K25" s="23" t="s">
        <v>1084</v>
      </c>
      <c r="L25" s="22" t="s">
        <v>1085</v>
      </c>
      <c r="M25" s="22" t="s">
        <v>1086</v>
      </c>
      <c r="N25" s="22" t="s">
        <v>1087</v>
      </c>
      <c r="O25" s="22" t="s">
        <v>1088</v>
      </c>
      <c r="P25" s="22" t="s">
        <v>1089</v>
      </c>
      <c r="Q25" s="22" t="s">
        <v>1090</v>
      </c>
      <c r="R25" s="22" t="s">
        <v>467</v>
      </c>
      <c r="S25" s="22" t="s">
        <v>468</v>
      </c>
      <c r="T25" s="22" t="s">
        <v>469</v>
      </c>
      <c r="U25" s="22"/>
      <c r="V25" s="22" t="s">
        <v>470</v>
      </c>
      <c r="W25" s="22" t="s">
        <v>471</v>
      </c>
      <c r="X25" s="22" t="s">
        <v>774</v>
      </c>
      <c r="Y25" s="22" t="s">
        <v>775</v>
      </c>
      <c r="Z25" s="22" t="s">
        <v>776</v>
      </c>
      <c r="AA25" s="22" t="s">
        <v>475</v>
      </c>
      <c r="AB25" s="22"/>
      <c r="AC25" s="22"/>
      <c r="AD25" s="25" t="s">
        <v>1091</v>
      </c>
      <c r="AE25" s="25" t="s">
        <v>1092</v>
      </c>
      <c r="AF25" s="25" t="s">
        <v>1093</v>
      </c>
      <c r="AG25" s="25" t="s">
        <v>1094</v>
      </c>
      <c r="AH25" s="25" t="s">
        <v>1095</v>
      </c>
      <c r="AI25" s="25"/>
      <c r="AJ25" s="25"/>
      <c r="AK25" s="25"/>
      <c r="AL25" s="22" t="s">
        <v>783</v>
      </c>
      <c r="AM25" s="22" t="s">
        <v>514</v>
      </c>
      <c r="AN25" s="22"/>
      <c r="AO25" s="22"/>
      <c r="AP25" s="22" t="s">
        <v>1096</v>
      </c>
      <c r="AQ25" s="22" t="s">
        <v>1097</v>
      </c>
      <c r="AR25" s="1" t="s">
        <v>157</v>
      </c>
      <c r="AS25" s="1" t="s">
        <v>146</v>
      </c>
      <c r="AT25" s="1" t="s">
        <v>178</v>
      </c>
      <c r="AU25" s="1" t="s">
        <v>1098</v>
      </c>
      <c r="AV25" s="1" t="s">
        <v>138</v>
      </c>
      <c r="AW25" s="1" t="s">
        <v>1099</v>
      </c>
      <c r="AX25" s="1" t="s">
        <v>189</v>
      </c>
      <c r="AY25" s="1" t="s">
        <v>128</v>
      </c>
      <c r="AZ25" s="1" t="s">
        <v>1100</v>
      </c>
      <c r="BA25" s="1" t="s">
        <v>223</v>
      </c>
      <c r="BB25" s="1" t="s">
        <v>486</v>
      </c>
      <c r="BC25" s="1" t="s">
        <v>486</v>
      </c>
      <c r="BD25" s="1" t="s">
        <v>486</v>
      </c>
      <c r="BE25" s="1" t="s">
        <v>1101</v>
      </c>
      <c r="BF25" s="1" t="s">
        <v>626</v>
      </c>
      <c r="BG25" s="1" t="s">
        <v>122</v>
      </c>
      <c r="BH25" s="1" t="s">
        <v>1102</v>
      </c>
      <c r="BI25" s="1" t="s">
        <v>238</v>
      </c>
      <c r="BJ25" s="1" t="s">
        <v>679</v>
      </c>
      <c r="BK25" s="1" t="s">
        <v>628</v>
      </c>
      <c r="BL25" s="1" t="s">
        <v>285</v>
      </c>
      <c r="BM25" s="1" t="s">
        <v>1103</v>
      </c>
      <c r="BN25" s="1" t="s">
        <v>238</v>
      </c>
      <c r="BO25" s="26" t="str">
        <f>IF(COUNTIF('MMAT Appraisal'!$A$2:$A$60,A25)=0,"",INDEX('MMAT Appraisal'!$K$2:$K$60,MATCH(A25,'MMAT Appraisal'!$A$2:$A$60,0)))</f>
        <v/>
      </c>
      <c r="BP25" s="1" t="str">
        <f t="shared" si="0"/>
        <v>Not rated</v>
      </c>
      <c r="BQ25" s="1" t="s">
        <v>122</v>
      </c>
      <c r="BR25" s="1" t="s">
        <v>122</v>
      </c>
      <c r="BS25" s="1" t="s">
        <v>492</v>
      </c>
      <c r="BT25" s="1" t="s">
        <v>1104</v>
      </c>
      <c r="BU25" s="1" t="s">
        <v>494</v>
      </c>
      <c r="BV25" s="1" t="s">
        <v>1105</v>
      </c>
    </row>
    <row r="26" spans="1:74" ht="341.25" customHeight="1" x14ac:dyDescent="0.25">
      <c r="A26" s="22">
        <v>25</v>
      </c>
      <c r="B26" s="22"/>
      <c r="C26" s="22" t="s">
        <v>1106</v>
      </c>
      <c r="D26" s="22" t="s">
        <v>1107</v>
      </c>
      <c r="E26" s="22" t="s">
        <v>1108</v>
      </c>
      <c r="F26" s="22" t="s">
        <v>322</v>
      </c>
      <c r="G26" s="22">
        <v>2021</v>
      </c>
      <c r="H26" s="22" t="s">
        <v>1109</v>
      </c>
      <c r="I26" s="22">
        <v>3</v>
      </c>
      <c r="J26" s="22" t="s">
        <v>1110</v>
      </c>
      <c r="K26" s="23" t="s">
        <v>1111</v>
      </c>
      <c r="L26" s="22" t="s">
        <v>1112</v>
      </c>
      <c r="M26" s="22" t="s">
        <v>1113</v>
      </c>
      <c r="N26" s="22" t="s">
        <v>1114</v>
      </c>
      <c r="O26" s="22" t="s">
        <v>1115</v>
      </c>
      <c r="P26" s="22" t="s">
        <v>1116</v>
      </c>
      <c r="Q26" s="22" t="s">
        <v>466</v>
      </c>
      <c r="R26" s="22" t="s">
        <v>467</v>
      </c>
      <c r="S26" s="22" t="s">
        <v>468</v>
      </c>
      <c r="T26" s="22" t="s">
        <v>469</v>
      </c>
      <c r="U26" s="22"/>
      <c r="V26" s="22" t="s">
        <v>470</v>
      </c>
      <c r="W26" s="22" t="s">
        <v>471</v>
      </c>
      <c r="X26" s="22" t="s">
        <v>774</v>
      </c>
      <c r="Y26" s="22" t="s">
        <v>775</v>
      </c>
      <c r="Z26" s="22" t="s">
        <v>776</v>
      </c>
      <c r="AA26" s="22" t="s">
        <v>475</v>
      </c>
      <c r="AB26" s="22"/>
      <c r="AC26" s="22"/>
      <c r="AD26" s="25" t="s">
        <v>1117</v>
      </c>
      <c r="AE26" s="25" t="s">
        <v>1118</v>
      </c>
      <c r="AF26" s="25" t="s">
        <v>1119</v>
      </c>
      <c r="AG26" s="25" t="s">
        <v>1120</v>
      </c>
      <c r="AH26" s="25" t="s">
        <v>1121</v>
      </c>
      <c r="AI26" s="25"/>
      <c r="AJ26" s="25"/>
      <c r="AK26" s="25"/>
      <c r="AL26" s="22" t="s">
        <v>783</v>
      </c>
      <c r="AM26" s="22" t="s">
        <v>475</v>
      </c>
      <c r="AN26" s="22" t="s">
        <v>1122</v>
      </c>
      <c r="AO26" s="22"/>
      <c r="AP26" s="22"/>
      <c r="AQ26" s="22"/>
      <c r="AR26" s="1" t="s">
        <v>152</v>
      </c>
      <c r="AS26" s="1" t="s">
        <v>146</v>
      </c>
      <c r="AT26" s="1" t="s">
        <v>179</v>
      </c>
      <c r="AU26" s="1" t="s">
        <v>675</v>
      </c>
      <c r="AV26" s="1" t="s">
        <v>138</v>
      </c>
      <c r="AW26" s="1" t="s">
        <v>1123</v>
      </c>
      <c r="AX26" s="1" t="s">
        <v>187</v>
      </c>
      <c r="AY26" s="1" t="s">
        <v>125</v>
      </c>
      <c r="AZ26" s="1" t="s">
        <v>1124</v>
      </c>
      <c r="BA26" s="1" t="s">
        <v>223</v>
      </c>
      <c r="BB26" s="1" t="s">
        <v>486</v>
      </c>
      <c r="BC26" s="1" t="s">
        <v>486</v>
      </c>
      <c r="BD26" s="1" t="s">
        <v>486</v>
      </c>
      <c r="BE26" s="1" t="s">
        <v>870</v>
      </c>
      <c r="BF26" s="1" t="s">
        <v>626</v>
      </c>
      <c r="BG26" s="1" t="s">
        <v>122</v>
      </c>
      <c r="BH26" s="1" t="s">
        <v>223</v>
      </c>
      <c r="BI26" s="1" t="s">
        <v>238</v>
      </c>
      <c r="BJ26" s="1" t="s">
        <v>679</v>
      </c>
      <c r="BK26" s="1" t="s">
        <v>628</v>
      </c>
      <c r="BL26" s="1" t="s">
        <v>285</v>
      </c>
      <c r="BM26" s="1" t="s">
        <v>97</v>
      </c>
      <c r="BN26" s="1" t="s">
        <v>238</v>
      </c>
      <c r="BO26" s="26" t="str">
        <f>IF(COUNTIF('MMAT Appraisal'!$A$2:$A$60,A26)=0,"",INDEX('MMAT Appraisal'!$K$2:$K$60,MATCH(A26,'MMAT Appraisal'!$A$2:$A$60,0)))</f>
        <v/>
      </c>
      <c r="BP26" s="1" t="str">
        <f t="shared" si="0"/>
        <v>Not rated</v>
      </c>
      <c r="BQ26" s="1" t="s">
        <v>122</v>
      </c>
      <c r="BR26" s="1" t="s">
        <v>122</v>
      </c>
      <c r="BS26" s="1" t="s">
        <v>492</v>
      </c>
      <c r="BT26" s="1" t="s">
        <v>1125</v>
      </c>
      <c r="BU26" s="1" t="s">
        <v>494</v>
      </c>
      <c r="BV26" s="1" t="s">
        <v>1126</v>
      </c>
    </row>
    <row r="27" spans="1:74" ht="341.25" customHeight="1" x14ac:dyDescent="0.25">
      <c r="A27" s="22">
        <v>26</v>
      </c>
      <c r="B27" s="22"/>
      <c r="C27" s="22" t="s">
        <v>1127</v>
      </c>
      <c r="D27" s="22" t="s">
        <v>1128</v>
      </c>
      <c r="E27" s="22">
        <v>15623485600</v>
      </c>
      <c r="F27" s="22" t="s">
        <v>324</v>
      </c>
      <c r="G27" s="22">
        <v>2020</v>
      </c>
      <c r="H27" s="22" t="s">
        <v>1129</v>
      </c>
      <c r="I27" s="22">
        <v>0</v>
      </c>
      <c r="J27" s="22" t="s">
        <v>1130</v>
      </c>
      <c r="K27" s="23" t="s">
        <v>1131</v>
      </c>
      <c r="L27" s="22" t="s">
        <v>1132</v>
      </c>
      <c r="M27" s="22" t="s">
        <v>1133</v>
      </c>
      <c r="N27" s="22" t="s">
        <v>1134</v>
      </c>
      <c r="O27" s="22" t="s">
        <v>1135</v>
      </c>
      <c r="P27" s="22" t="s">
        <v>1136</v>
      </c>
      <c r="Q27" s="22" t="s">
        <v>466</v>
      </c>
      <c r="R27" s="22" t="s">
        <v>467</v>
      </c>
      <c r="S27" s="22" t="s">
        <v>468</v>
      </c>
      <c r="T27" s="22" t="s">
        <v>469</v>
      </c>
      <c r="U27" s="22"/>
      <c r="V27" s="22" t="s">
        <v>470</v>
      </c>
      <c r="W27" s="22" t="s">
        <v>471</v>
      </c>
      <c r="X27" s="22" t="s">
        <v>774</v>
      </c>
      <c r="Y27" s="22" t="s">
        <v>775</v>
      </c>
      <c r="Z27" s="22" t="s">
        <v>776</v>
      </c>
      <c r="AA27" s="22" t="s">
        <v>475</v>
      </c>
      <c r="AB27" s="22"/>
      <c r="AC27" s="22"/>
      <c r="AD27" s="25" t="s">
        <v>1137</v>
      </c>
      <c r="AE27" s="25" t="s">
        <v>1138</v>
      </c>
      <c r="AF27" s="25" t="s">
        <v>1139</v>
      </c>
      <c r="AG27" s="25" t="s">
        <v>1140</v>
      </c>
      <c r="AH27" s="25" t="s">
        <v>1141</v>
      </c>
      <c r="AI27" s="25"/>
      <c r="AJ27" s="25"/>
      <c r="AK27" s="25"/>
      <c r="AL27" s="22" t="s">
        <v>783</v>
      </c>
      <c r="AM27" s="22" t="s">
        <v>474</v>
      </c>
      <c r="AN27" s="22" t="s">
        <v>476</v>
      </c>
      <c r="AO27" s="22"/>
      <c r="AP27" s="22"/>
      <c r="AQ27" s="22"/>
      <c r="AR27" s="1" t="s">
        <v>159</v>
      </c>
      <c r="AS27" s="1" t="s">
        <v>144</v>
      </c>
      <c r="AT27" s="1" t="s">
        <v>115</v>
      </c>
      <c r="AU27" s="1" t="s">
        <v>1142</v>
      </c>
      <c r="AV27" s="1" t="s">
        <v>138</v>
      </c>
      <c r="AW27" s="1" t="s">
        <v>1143</v>
      </c>
      <c r="AX27" s="1" t="s">
        <v>187</v>
      </c>
      <c r="AY27" s="1" t="s">
        <v>125</v>
      </c>
      <c r="AZ27" s="1" t="s">
        <v>677</v>
      </c>
      <c r="BA27" s="1" t="s">
        <v>223</v>
      </c>
      <c r="BB27" s="1" t="s">
        <v>486</v>
      </c>
      <c r="BC27" s="1" t="s">
        <v>94</v>
      </c>
      <c r="BD27" s="1" t="s">
        <v>94</v>
      </c>
      <c r="BE27" s="1" t="s">
        <v>1144</v>
      </c>
      <c r="BF27" s="1" t="s">
        <v>230</v>
      </c>
      <c r="BG27" s="1" t="s">
        <v>1145</v>
      </c>
      <c r="BH27" s="1" t="s">
        <v>1146</v>
      </c>
      <c r="BI27" s="1" t="s">
        <v>235</v>
      </c>
      <c r="BJ27" s="1" t="s">
        <v>489</v>
      </c>
      <c r="BK27" s="1" t="s">
        <v>215</v>
      </c>
      <c r="BL27" s="1" t="s">
        <v>240</v>
      </c>
      <c r="BM27" s="1" t="s">
        <v>1147</v>
      </c>
      <c r="BN27" s="1" t="s">
        <v>491</v>
      </c>
      <c r="BO27" s="26">
        <f>IF(COUNTIF('MMAT Appraisal'!$A$2:$A$60,A27)=0,"",INDEX('MMAT Appraisal'!$K$2:$K$60,MATCH(A27,'MMAT Appraisal'!$A$2:$A$60,0)))</f>
        <v>3</v>
      </c>
      <c r="BP27" s="1" t="str">
        <f t="shared" si="0"/>
        <v>Moderate</v>
      </c>
      <c r="BQ27" s="1" t="s">
        <v>1148</v>
      </c>
      <c r="BR27" s="1" t="s">
        <v>259</v>
      </c>
      <c r="BS27" s="1" t="s">
        <v>525</v>
      </c>
      <c r="BT27" s="1" t="s">
        <v>526</v>
      </c>
      <c r="BU27" s="1" t="s">
        <v>494</v>
      </c>
      <c r="BV27" s="1" t="s">
        <v>1149</v>
      </c>
    </row>
    <row r="28" spans="1:74" ht="341.25" customHeight="1" x14ac:dyDescent="0.25">
      <c r="A28" s="22">
        <v>27</v>
      </c>
      <c r="B28" s="22"/>
      <c r="C28" s="22" t="s">
        <v>1150</v>
      </c>
      <c r="D28" s="22" t="s">
        <v>1151</v>
      </c>
      <c r="E28" s="22">
        <v>6603338182</v>
      </c>
      <c r="F28" s="22" t="s">
        <v>326</v>
      </c>
      <c r="G28" s="22">
        <v>2019</v>
      </c>
      <c r="H28" s="22" t="s">
        <v>1152</v>
      </c>
      <c r="I28" s="22">
        <v>9</v>
      </c>
      <c r="J28" s="22" t="s">
        <v>1153</v>
      </c>
      <c r="K28" s="23" t="s">
        <v>1154</v>
      </c>
      <c r="L28" s="22" t="s">
        <v>1155</v>
      </c>
      <c r="M28" s="22" t="s">
        <v>1156</v>
      </c>
      <c r="N28" s="22" t="s">
        <v>1157</v>
      </c>
      <c r="O28" s="22" t="s">
        <v>1158</v>
      </c>
      <c r="P28" s="22" t="s">
        <v>1159</v>
      </c>
      <c r="Q28" s="22" t="s">
        <v>466</v>
      </c>
      <c r="R28" s="22" t="s">
        <v>467</v>
      </c>
      <c r="S28" s="22" t="s">
        <v>468</v>
      </c>
      <c r="T28" s="22" t="s">
        <v>469</v>
      </c>
      <c r="U28" s="22"/>
      <c r="V28" s="22" t="s">
        <v>470</v>
      </c>
      <c r="W28" s="22" t="s">
        <v>471</v>
      </c>
      <c r="X28" s="22" t="s">
        <v>774</v>
      </c>
      <c r="Y28" s="22" t="s">
        <v>775</v>
      </c>
      <c r="Z28" s="22" t="s">
        <v>776</v>
      </c>
      <c r="AA28" s="22" t="s">
        <v>475</v>
      </c>
      <c r="AB28" s="22"/>
      <c r="AC28" s="22"/>
      <c r="AD28" s="25" t="s">
        <v>1160</v>
      </c>
      <c r="AE28" s="25" t="s">
        <v>1161</v>
      </c>
      <c r="AF28" s="25" t="s">
        <v>1162</v>
      </c>
      <c r="AG28" s="25" t="s">
        <v>1163</v>
      </c>
      <c r="AH28" s="25" t="s">
        <v>1164</v>
      </c>
      <c r="AI28" s="25"/>
      <c r="AJ28" s="25"/>
      <c r="AK28" s="25"/>
      <c r="AL28" s="22" t="s">
        <v>783</v>
      </c>
      <c r="AM28" s="22" t="s">
        <v>513</v>
      </c>
      <c r="AN28" s="22" t="s">
        <v>1165</v>
      </c>
      <c r="AO28" s="22"/>
      <c r="AP28" s="22"/>
      <c r="AQ28" s="22"/>
      <c r="AR28" s="1" t="s">
        <v>161</v>
      </c>
      <c r="AS28" s="1" t="s">
        <v>149</v>
      </c>
      <c r="AT28" s="1" t="s">
        <v>116</v>
      </c>
      <c r="AU28" s="1" t="s">
        <v>1166</v>
      </c>
      <c r="AV28" s="1" t="s">
        <v>138</v>
      </c>
      <c r="AW28" s="1" t="s">
        <v>1167</v>
      </c>
      <c r="AX28" s="1" t="s">
        <v>187</v>
      </c>
      <c r="AY28" s="1" t="s">
        <v>125</v>
      </c>
      <c r="AZ28" s="1" t="s">
        <v>677</v>
      </c>
      <c r="BA28" s="1" t="s">
        <v>223</v>
      </c>
      <c r="BB28" s="1" t="s">
        <v>94</v>
      </c>
      <c r="BC28" s="1" t="s">
        <v>94</v>
      </c>
      <c r="BD28" s="1" t="s">
        <v>486</v>
      </c>
      <c r="BE28" s="1" t="s">
        <v>1168</v>
      </c>
      <c r="BF28" s="1" t="s">
        <v>232</v>
      </c>
      <c r="BG28" s="1" t="s">
        <v>122</v>
      </c>
      <c r="BH28" s="1" t="s">
        <v>1169</v>
      </c>
      <c r="BI28" s="1" t="s">
        <v>238</v>
      </c>
      <c r="BJ28" s="1" t="s">
        <v>1170</v>
      </c>
      <c r="BK28" s="1" t="s">
        <v>221</v>
      </c>
      <c r="BL28" s="1" t="s">
        <v>221</v>
      </c>
      <c r="BM28" s="1" t="s">
        <v>1171</v>
      </c>
      <c r="BN28" s="1" t="s">
        <v>1172</v>
      </c>
      <c r="BO28" s="26">
        <f>IF(COUNTIF('MMAT Appraisal'!$A$2:$A$60,A28)=0,"",INDEX('MMAT Appraisal'!$K$2:$K$60,MATCH(A28,'MMAT Appraisal'!$A$2:$A$60,0)))</f>
        <v>3</v>
      </c>
      <c r="BP28" s="1" t="str">
        <f t="shared" si="0"/>
        <v>Low</v>
      </c>
      <c r="BQ28" s="1" t="s">
        <v>1173</v>
      </c>
      <c r="BR28" s="1" t="s">
        <v>258</v>
      </c>
      <c r="BS28" s="1" t="s">
        <v>525</v>
      </c>
      <c r="BT28" s="1" t="s">
        <v>526</v>
      </c>
      <c r="BU28" s="1" t="s">
        <v>494</v>
      </c>
      <c r="BV28" s="1" t="s">
        <v>1174</v>
      </c>
    </row>
    <row r="29" spans="1:74" ht="341.25" customHeight="1" x14ac:dyDescent="0.25">
      <c r="A29" s="22">
        <v>28</v>
      </c>
      <c r="B29" s="22"/>
      <c r="C29" s="22" t="s">
        <v>1175</v>
      </c>
      <c r="D29" s="22" t="s">
        <v>1176</v>
      </c>
      <c r="E29" s="22">
        <v>57207176910</v>
      </c>
      <c r="F29" s="22" t="s">
        <v>328</v>
      </c>
      <c r="G29" s="22">
        <v>2019</v>
      </c>
      <c r="H29" s="22" t="s">
        <v>1152</v>
      </c>
      <c r="I29" s="22">
        <v>7</v>
      </c>
      <c r="J29" s="22" t="s">
        <v>1177</v>
      </c>
      <c r="K29" s="23" t="s">
        <v>1178</v>
      </c>
      <c r="L29" s="22" t="s">
        <v>1179</v>
      </c>
      <c r="M29" s="22" t="s">
        <v>1180</v>
      </c>
      <c r="N29" s="22" t="s">
        <v>1181</v>
      </c>
      <c r="O29" s="22" t="s">
        <v>1182</v>
      </c>
      <c r="P29" s="22" t="s">
        <v>1183</v>
      </c>
      <c r="Q29" s="22" t="s">
        <v>466</v>
      </c>
      <c r="R29" s="22" t="s">
        <v>467</v>
      </c>
      <c r="S29" s="22" t="s">
        <v>468</v>
      </c>
      <c r="T29" s="22" t="s">
        <v>469</v>
      </c>
      <c r="U29" s="22"/>
      <c r="V29" s="22" t="s">
        <v>470</v>
      </c>
      <c r="W29" s="22" t="s">
        <v>471</v>
      </c>
      <c r="X29" s="22" t="s">
        <v>1184</v>
      </c>
      <c r="Y29" s="22" t="s">
        <v>775</v>
      </c>
      <c r="Z29" s="22" t="s">
        <v>776</v>
      </c>
      <c r="AA29" s="22" t="s">
        <v>475</v>
      </c>
      <c r="AB29" s="22"/>
      <c r="AC29" s="22"/>
      <c r="AD29" s="25" t="s">
        <v>1185</v>
      </c>
      <c r="AE29" s="25" t="s">
        <v>1186</v>
      </c>
      <c r="AF29" s="25" t="s">
        <v>1187</v>
      </c>
      <c r="AG29" s="25" t="s">
        <v>1188</v>
      </c>
      <c r="AH29" s="25" t="s">
        <v>1189</v>
      </c>
      <c r="AI29" s="25"/>
      <c r="AJ29" s="25"/>
      <c r="AK29" s="25"/>
      <c r="AL29" s="22" t="s">
        <v>1014</v>
      </c>
      <c r="AM29" s="22" t="s">
        <v>514</v>
      </c>
      <c r="AN29" s="25" t="s">
        <v>1190</v>
      </c>
      <c r="AO29" s="22"/>
      <c r="AP29" s="22"/>
      <c r="AQ29" s="22"/>
      <c r="AR29" s="1" t="s">
        <v>153</v>
      </c>
      <c r="AS29" s="1" t="s">
        <v>144</v>
      </c>
      <c r="AT29" s="1" t="s">
        <v>178</v>
      </c>
      <c r="AU29" s="1" t="s">
        <v>1191</v>
      </c>
      <c r="AV29" s="1" t="s">
        <v>132</v>
      </c>
      <c r="AW29" s="1" t="s">
        <v>1192</v>
      </c>
      <c r="AX29" s="1" t="s">
        <v>187</v>
      </c>
      <c r="AY29" s="1" t="s">
        <v>125</v>
      </c>
      <c r="AZ29" s="1" t="s">
        <v>1193</v>
      </c>
      <c r="BA29" s="1" t="s">
        <v>223</v>
      </c>
      <c r="BB29" s="1" t="s">
        <v>486</v>
      </c>
      <c r="BC29" s="1" t="s">
        <v>486</v>
      </c>
      <c r="BD29" s="1" t="s">
        <v>486</v>
      </c>
      <c r="BE29" s="1" t="s">
        <v>1194</v>
      </c>
      <c r="BF29" s="1" t="s">
        <v>626</v>
      </c>
      <c r="BG29" s="1" t="s">
        <v>122</v>
      </c>
      <c r="BH29" s="1" t="s">
        <v>223</v>
      </c>
      <c r="BI29" s="1" t="s">
        <v>238</v>
      </c>
      <c r="BJ29" s="1" t="s">
        <v>1195</v>
      </c>
      <c r="BK29" s="1" t="s">
        <v>628</v>
      </c>
      <c r="BL29" s="1" t="s">
        <v>285</v>
      </c>
      <c r="BM29" s="1" t="s">
        <v>1196</v>
      </c>
      <c r="BN29" s="1" t="s">
        <v>238</v>
      </c>
      <c r="BO29" s="26" t="str">
        <f>IF(COUNTIF('MMAT Appraisal'!$A$2:$A$60,A29)=0,"",INDEX('MMAT Appraisal'!$K$2:$K$60,MATCH(A29,'MMAT Appraisal'!$A$2:$A$60,0)))</f>
        <v/>
      </c>
      <c r="BP29" s="1" t="str">
        <f t="shared" si="0"/>
        <v>Not rated</v>
      </c>
      <c r="BQ29" s="1" t="s">
        <v>122</v>
      </c>
      <c r="BR29" s="1" t="s">
        <v>122</v>
      </c>
      <c r="BS29" s="1" t="s">
        <v>492</v>
      </c>
      <c r="BT29" s="1" t="s">
        <v>1197</v>
      </c>
      <c r="BU29" s="1" t="s">
        <v>494</v>
      </c>
      <c r="BV29" s="1" t="s">
        <v>1198</v>
      </c>
    </row>
    <row r="30" spans="1:74" ht="341.25" customHeight="1" x14ac:dyDescent="0.25">
      <c r="A30" s="22">
        <v>29</v>
      </c>
      <c r="B30" s="22"/>
      <c r="C30" s="22" t="s">
        <v>1199</v>
      </c>
      <c r="D30" s="22" t="s">
        <v>1200</v>
      </c>
      <c r="E30" s="22" t="s">
        <v>1201</v>
      </c>
      <c r="F30" s="22" t="s">
        <v>330</v>
      </c>
      <c r="G30" s="22">
        <v>2018</v>
      </c>
      <c r="H30" s="22" t="s">
        <v>1202</v>
      </c>
      <c r="I30" s="22">
        <v>13</v>
      </c>
      <c r="J30" s="22" t="s">
        <v>1203</v>
      </c>
      <c r="K30" s="23" t="s">
        <v>1204</v>
      </c>
      <c r="L30" s="22" t="s">
        <v>1205</v>
      </c>
      <c r="M30" s="22" t="s">
        <v>1206</v>
      </c>
      <c r="N30" s="22" t="s">
        <v>1207</v>
      </c>
      <c r="O30" s="22" t="s">
        <v>1208</v>
      </c>
      <c r="P30" s="22" t="s">
        <v>1209</v>
      </c>
      <c r="Q30" s="22" t="s">
        <v>466</v>
      </c>
      <c r="R30" s="22" t="s">
        <v>467</v>
      </c>
      <c r="S30" s="22" t="s">
        <v>468</v>
      </c>
      <c r="T30" s="22" t="s">
        <v>469</v>
      </c>
      <c r="U30" s="22"/>
      <c r="V30" s="22" t="s">
        <v>470</v>
      </c>
      <c r="W30" s="22" t="s">
        <v>471</v>
      </c>
      <c r="X30" s="22" t="s">
        <v>1184</v>
      </c>
      <c r="Y30" s="22" t="s">
        <v>775</v>
      </c>
      <c r="Z30" s="22" t="s">
        <v>776</v>
      </c>
      <c r="AA30" s="22" t="s">
        <v>514</v>
      </c>
      <c r="AB30" s="22"/>
      <c r="AC30" s="22" t="s">
        <v>1210</v>
      </c>
      <c r="AD30" s="25" t="s">
        <v>1211</v>
      </c>
      <c r="AE30" s="25" t="s">
        <v>1212</v>
      </c>
      <c r="AF30" s="25" t="s">
        <v>1213</v>
      </c>
      <c r="AG30" s="25" t="s">
        <v>1214</v>
      </c>
      <c r="AH30" s="25" t="s">
        <v>1215</v>
      </c>
      <c r="AI30" s="25"/>
      <c r="AJ30" s="25"/>
      <c r="AK30" s="25"/>
      <c r="AL30" s="22" t="s">
        <v>1014</v>
      </c>
      <c r="AM30" s="22" t="s">
        <v>474</v>
      </c>
      <c r="AN30" s="22" t="s">
        <v>1216</v>
      </c>
      <c r="AO30" s="22"/>
      <c r="AP30" s="22"/>
      <c r="AQ30" s="22"/>
      <c r="AR30" s="1" t="s">
        <v>164</v>
      </c>
      <c r="AS30" s="1" t="s">
        <v>145</v>
      </c>
      <c r="AT30" s="1" t="s">
        <v>116</v>
      </c>
      <c r="AU30" s="1" t="s">
        <v>1217</v>
      </c>
      <c r="AV30" s="1" t="s">
        <v>132</v>
      </c>
      <c r="AW30" s="1" t="s">
        <v>1014</v>
      </c>
      <c r="AX30" s="1" t="s">
        <v>188</v>
      </c>
      <c r="AY30" s="1" t="s">
        <v>126</v>
      </c>
      <c r="AZ30" s="1" t="s">
        <v>1218</v>
      </c>
      <c r="BA30" s="1" t="s">
        <v>224</v>
      </c>
      <c r="BB30" s="1" t="s">
        <v>486</v>
      </c>
      <c r="BC30" s="1" t="s">
        <v>94</v>
      </c>
      <c r="BD30" s="1" t="s">
        <v>94</v>
      </c>
      <c r="BE30" s="1" t="s">
        <v>1219</v>
      </c>
      <c r="BF30" s="1" t="s">
        <v>231</v>
      </c>
      <c r="BG30" s="1" t="s">
        <v>122</v>
      </c>
      <c r="BH30" s="1" t="s">
        <v>1220</v>
      </c>
      <c r="BI30" s="1" t="s">
        <v>237</v>
      </c>
      <c r="BJ30" s="1" t="s">
        <v>1221</v>
      </c>
      <c r="BK30" s="1" t="s">
        <v>219</v>
      </c>
      <c r="BL30" s="1" t="s">
        <v>241</v>
      </c>
      <c r="BM30" s="1" t="s">
        <v>1222</v>
      </c>
      <c r="BN30" s="1" t="s">
        <v>1223</v>
      </c>
      <c r="BO30" s="26">
        <f>IF(COUNTIF('MMAT Appraisal'!$A$2:$A$60,A30)=0,"",INDEX('MMAT Appraisal'!$K$2:$K$60,MATCH(A30,'MMAT Appraisal'!$A$2:$A$60,0)))</f>
        <v>2</v>
      </c>
      <c r="BP30" s="1" t="str">
        <f t="shared" si="0"/>
        <v>Low</v>
      </c>
      <c r="BQ30" s="1" t="s">
        <v>1224</v>
      </c>
      <c r="BR30" s="1" t="s">
        <v>258</v>
      </c>
      <c r="BS30" s="1" t="s">
        <v>525</v>
      </c>
      <c r="BT30" s="1" t="s">
        <v>526</v>
      </c>
      <c r="BU30" s="1" t="s">
        <v>494</v>
      </c>
      <c r="BV30" s="1" t="s">
        <v>1225</v>
      </c>
    </row>
    <row r="31" spans="1:74" ht="341.25" customHeight="1" x14ac:dyDescent="0.25">
      <c r="A31" s="22">
        <v>30</v>
      </c>
      <c r="B31" s="22"/>
      <c r="C31" s="22" t="s">
        <v>1226</v>
      </c>
      <c r="D31" s="22" t="s">
        <v>1227</v>
      </c>
      <c r="E31" s="22" t="s">
        <v>1228</v>
      </c>
      <c r="F31" s="22" t="s">
        <v>332</v>
      </c>
      <c r="G31" s="22">
        <v>2024</v>
      </c>
      <c r="H31" s="22" t="s">
        <v>1229</v>
      </c>
      <c r="I31" s="22">
        <v>18</v>
      </c>
      <c r="J31" s="22" t="s">
        <v>1230</v>
      </c>
      <c r="K31" s="23" t="s">
        <v>1231</v>
      </c>
      <c r="L31" s="22" t="s">
        <v>1232</v>
      </c>
      <c r="M31" s="22" t="s">
        <v>1233</v>
      </c>
      <c r="N31" s="22" t="s">
        <v>1234</v>
      </c>
      <c r="O31" s="22" t="s">
        <v>1235</v>
      </c>
      <c r="P31" s="22"/>
      <c r="Q31" s="22" t="s">
        <v>505</v>
      </c>
      <c r="R31" s="22" t="s">
        <v>467</v>
      </c>
      <c r="S31" s="22" t="s">
        <v>506</v>
      </c>
      <c r="T31" s="22" t="s">
        <v>469</v>
      </c>
      <c r="U31" s="22" t="s">
        <v>1008</v>
      </c>
      <c r="V31" s="22" t="s">
        <v>470</v>
      </c>
      <c r="W31" s="22" t="s">
        <v>471</v>
      </c>
      <c r="X31" s="22" t="s">
        <v>774</v>
      </c>
      <c r="Y31" s="22"/>
      <c r="Z31" s="22" t="s">
        <v>776</v>
      </c>
      <c r="AA31" s="22" t="s">
        <v>475</v>
      </c>
      <c r="AB31" s="22"/>
      <c r="AC31" s="22"/>
      <c r="AD31" s="25" t="s">
        <v>1236</v>
      </c>
      <c r="AE31" s="25" t="s">
        <v>1237</v>
      </c>
      <c r="AF31" s="25" t="s">
        <v>1238</v>
      </c>
      <c r="AG31" s="25" t="s">
        <v>1239</v>
      </c>
      <c r="AH31" s="25" t="s">
        <v>1240</v>
      </c>
      <c r="AI31" s="25"/>
      <c r="AJ31" s="25"/>
      <c r="AK31" s="25"/>
      <c r="AL31" s="22" t="s">
        <v>1241</v>
      </c>
      <c r="AM31" s="22" t="s">
        <v>475</v>
      </c>
      <c r="AN31" s="22" t="s">
        <v>1069</v>
      </c>
      <c r="AO31" s="22"/>
      <c r="AP31" s="22"/>
      <c r="AQ31" s="22"/>
      <c r="AR31" s="1" t="s">
        <v>162</v>
      </c>
      <c r="AS31" s="1" t="s">
        <v>145</v>
      </c>
      <c r="AT31" s="1" t="s">
        <v>178</v>
      </c>
      <c r="AU31" s="1" t="s">
        <v>1242</v>
      </c>
      <c r="AV31" s="1" t="s">
        <v>183</v>
      </c>
      <c r="AW31" s="1" t="s">
        <v>1243</v>
      </c>
      <c r="AX31" s="1" t="s">
        <v>187</v>
      </c>
      <c r="AY31" s="1" t="s">
        <v>125</v>
      </c>
      <c r="AZ31" s="1" t="s">
        <v>485</v>
      </c>
      <c r="BA31" s="1" t="s">
        <v>227</v>
      </c>
      <c r="BB31" s="1" t="s">
        <v>486</v>
      </c>
      <c r="BC31" s="1" t="s">
        <v>94</v>
      </c>
      <c r="BD31" s="1" t="s">
        <v>94</v>
      </c>
      <c r="BE31" s="1" t="s">
        <v>1244</v>
      </c>
      <c r="BF31" s="1" t="s">
        <v>230</v>
      </c>
      <c r="BG31" s="1" t="s">
        <v>1245</v>
      </c>
      <c r="BH31" s="1" t="s">
        <v>1246</v>
      </c>
      <c r="BI31" s="1" t="s">
        <v>234</v>
      </c>
      <c r="BJ31" s="1" t="s">
        <v>521</v>
      </c>
      <c r="BK31" s="1" t="s">
        <v>217</v>
      </c>
      <c r="BL31" s="1" t="s">
        <v>240</v>
      </c>
      <c r="BM31" s="1" t="s">
        <v>1247</v>
      </c>
      <c r="BN31" s="1" t="s">
        <v>1248</v>
      </c>
      <c r="BO31" s="26">
        <f>IF(COUNTIF('MMAT Appraisal'!$A$2:$A$60,A31)=0,"",INDEX('MMAT Appraisal'!$K$2:$K$60,MATCH(A31,'MMAT Appraisal'!$A$2:$A$60,0)))</f>
        <v>4</v>
      </c>
      <c r="BP31" s="1" t="str">
        <f t="shared" si="0"/>
        <v>Moderate</v>
      </c>
      <c r="BQ31" s="1" t="s">
        <v>1249</v>
      </c>
      <c r="BR31" s="1" t="s">
        <v>257</v>
      </c>
      <c r="BS31" s="1" t="s">
        <v>733</v>
      </c>
      <c r="BT31" s="1" t="s">
        <v>1250</v>
      </c>
      <c r="BU31" s="1" t="s">
        <v>494</v>
      </c>
      <c r="BV31" s="1" t="s">
        <v>1251</v>
      </c>
    </row>
    <row r="32" spans="1:74" ht="341.25" customHeight="1" x14ac:dyDescent="0.25">
      <c r="A32" s="22">
        <v>31</v>
      </c>
      <c r="B32" s="22"/>
      <c r="C32" s="22" t="s">
        <v>1252</v>
      </c>
      <c r="D32" s="22" t="s">
        <v>1253</v>
      </c>
      <c r="E32" s="22" t="s">
        <v>1254</v>
      </c>
      <c r="F32" s="22" t="s">
        <v>334</v>
      </c>
      <c r="G32" s="22">
        <v>2023</v>
      </c>
      <c r="H32" s="22" t="s">
        <v>1255</v>
      </c>
      <c r="I32" s="22">
        <v>3</v>
      </c>
      <c r="J32" s="22" t="s">
        <v>1256</v>
      </c>
      <c r="K32" s="23" t="s">
        <v>1257</v>
      </c>
      <c r="L32" s="22" t="s">
        <v>1258</v>
      </c>
      <c r="M32" s="22" t="s">
        <v>1259</v>
      </c>
      <c r="N32" s="22" t="s">
        <v>1260</v>
      </c>
      <c r="O32" s="22" t="s">
        <v>1261</v>
      </c>
      <c r="P32" s="22" t="s">
        <v>1262</v>
      </c>
      <c r="Q32" s="22" t="s">
        <v>1263</v>
      </c>
      <c r="R32" s="22" t="s">
        <v>467</v>
      </c>
      <c r="S32" s="22" t="s">
        <v>468</v>
      </c>
      <c r="T32" s="22" t="s">
        <v>469</v>
      </c>
      <c r="U32" s="22" t="s">
        <v>1264</v>
      </c>
      <c r="V32" s="22" t="s">
        <v>470</v>
      </c>
      <c r="W32" s="22" t="s">
        <v>471</v>
      </c>
      <c r="X32" s="22" t="s">
        <v>472</v>
      </c>
      <c r="Y32" s="22" t="s">
        <v>775</v>
      </c>
      <c r="Z32" s="22" t="s">
        <v>475</v>
      </c>
      <c r="AA32" s="22" t="s">
        <v>474</v>
      </c>
      <c r="AB32" s="22" t="s">
        <v>1265</v>
      </c>
      <c r="AC32" s="22" t="s">
        <v>1266</v>
      </c>
      <c r="AD32" s="25" t="s">
        <v>1267</v>
      </c>
      <c r="AE32" s="25" t="s">
        <v>1268</v>
      </c>
      <c r="AF32" s="25" t="s">
        <v>1269</v>
      </c>
      <c r="AG32" s="25" t="s">
        <v>1270</v>
      </c>
      <c r="AH32" s="25" t="s">
        <v>1271</v>
      </c>
      <c r="AI32" s="25"/>
      <c r="AJ32" s="25"/>
      <c r="AK32" s="25"/>
      <c r="AL32" s="22"/>
      <c r="AM32" s="22" t="s">
        <v>513</v>
      </c>
      <c r="AN32" s="22" t="s">
        <v>1272</v>
      </c>
      <c r="AO32" s="22"/>
      <c r="AP32" s="22" t="s">
        <v>1273</v>
      </c>
      <c r="AQ32" s="22" t="s">
        <v>1274</v>
      </c>
      <c r="AR32" s="1" t="s">
        <v>158</v>
      </c>
      <c r="AS32" s="1" t="s">
        <v>145</v>
      </c>
      <c r="AT32" s="1" t="s">
        <v>121</v>
      </c>
      <c r="AU32" s="1" t="s">
        <v>1275</v>
      </c>
      <c r="AV32" s="1" t="s">
        <v>137</v>
      </c>
      <c r="AW32" s="1" t="s">
        <v>1276</v>
      </c>
      <c r="AX32" s="1" t="s">
        <v>187</v>
      </c>
      <c r="AY32" s="1" t="s">
        <v>125</v>
      </c>
      <c r="AZ32" s="1" t="s">
        <v>1277</v>
      </c>
      <c r="BA32" s="1" t="s">
        <v>225</v>
      </c>
      <c r="BB32" s="1" t="s">
        <v>486</v>
      </c>
      <c r="BC32" s="1" t="s">
        <v>94</v>
      </c>
      <c r="BD32" s="1" t="s">
        <v>94</v>
      </c>
      <c r="BE32" s="1" t="s">
        <v>1278</v>
      </c>
      <c r="BF32" s="1" t="s">
        <v>230</v>
      </c>
      <c r="BG32" s="1" t="s">
        <v>1279</v>
      </c>
      <c r="BH32" s="1" t="s">
        <v>1280</v>
      </c>
      <c r="BI32" s="1" t="s">
        <v>234</v>
      </c>
      <c r="BJ32" s="1" t="s">
        <v>218</v>
      </c>
      <c r="BK32" s="1" t="s">
        <v>218</v>
      </c>
      <c r="BL32" s="1" t="s">
        <v>241</v>
      </c>
      <c r="BM32" s="1" t="s">
        <v>1281</v>
      </c>
      <c r="BN32" s="1" t="s">
        <v>1282</v>
      </c>
      <c r="BO32" s="26">
        <f>IF(COUNTIF('MMAT Appraisal'!$A$2:$A$60,A32)=0,"",INDEX('MMAT Appraisal'!$K$2:$K$60,MATCH(A32,'MMAT Appraisal'!$A$2:$A$60,0)))</f>
        <v>4</v>
      </c>
      <c r="BP32" s="1" t="str">
        <f t="shared" si="0"/>
        <v>Moderate</v>
      </c>
      <c r="BQ32" s="1" t="s">
        <v>1283</v>
      </c>
      <c r="BR32" s="1" t="s">
        <v>258</v>
      </c>
      <c r="BS32" s="1" t="s">
        <v>525</v>
      </c>
      <c r="BT32" s="1" t="s">
        <v>526</v>
      </c>
      <c r="BU32" s="1" t="s">
        <v>494</v>
      </c>
      <c r="BV32" s="1" t="s">
        <v>1284</v>
      </c>
    </row>
    <row r="33" spans="1:74" ht="341.25" customHeight="1" x14ac:dyDescent="0.25">
      <c r="A33" s="22">
        <v>32</v>
      </c>
      <c r="B33" s="22"/>
      <c r="C33" s="22" t="s">
        <v>1285</v>
      </c>
      <c r="D33" s="22" t="s">
        <v>1286</v>
      </c>
      <c r="E33" s="22" t="s">
        <v>1287</v>
      </c>
      <c r="F33" s="22" t="s">
        <v>336</v>
      </c>
      <c r="G33" s="22">
        <v>2023</v>
      </c>
      <c r="H33" s="22" t="s">
        <v>1288</v>
      </c>
      <c r="I33" s="22">
        <v>2</v>
      </c>
      <c r="J33" s="22" t="s">
        <v>1289</v>
      </c>
      <c r="K33" s="23" t="s">
        <v>1290</v>
      </c>
      <c r="L33" s="22" t="s">
        <v>1291</v>
      </c>
      <c r="M33" s="22" t="s">
        <v>1292</v>
      </c>
      <c r="N33" s="22" t="s">
        <v>1293</v>
      </c>
      <c r="O33" s="22" t="s">
        <v>1294</v>
      </c>
      <c r="P33" s="22" t="s">
        <v>1295</v>
      </c>
      <c r="Q33" s="22" t="s">
        <v>466</v>
      </c>
      <c r="R33" s="22" t="s">
        <v>467</v>
      </c>
      <c r="S33" s="22" t="s">
        <v>468</v>
      </c>
      <c r="T33" s="22" t="s">
        <v>469</v>
      </c>
      <c r="U33" s="22"/>
      <c r="V33" s="22" t="s">
        <v>470</v>
      </c>
      <c r="W33" s="22" t="s">
        <v>471</v>
      </c>
      <c r="X33" s="22" t="s">
        <v>472</v>
      </c>
      <c r="Y33" s="22" t="s">
        <v>775</v>
      </c>
      <c r="Z33" s="22" t="s">
        <v>475</v>
      </c>
      <c r="AA33" s="22" t="s">
        <v>514</v>
      </c>
      <c r="AB33" s="22" t="s">
        <v>1296</v>
      </c>
      <c r="AC33" s="22" t="s">
        <v>1210</v>
      </c>
      <c r="AD33" s="25" t="s">
        <v>1297</v>
      </c>
      <c r="AE33" s="25" t="s">
        <v>1298</v>
      </c>
      <c r="AF33" s="25" t="s">
        <v>1299</v>
      </c>
      <c r="AG33" s="25" t="s">
        <v>1300</v>
      </c>
      <c r="AH33" s="25" t="s">
        <v>1301</v>
      </c>
      <c r="AI33" s="25"/>
      <c r="AJ33" s="25"/>
      <c r="AK33" s="25"/>
      <c r="AL33" s="22"/>
      <c r="AM33" s="22" t="s">
        <v>514</v>
      </c>
      <c r="AN33" s="22" t="s">
        <v>476</v>
      </c>
      <c r="AO33" s="22"/>
      <c r="AP33" s="22"/>
      <c r="AQ33" s="22"/>
      <c r="AR33" s="1" t="s">
        <v>154</v>
      </c>
      <c r="AS33" s="1" t="s">
        <v>144</v>
      </c>
      <c r="AT33" s="1" t="s">
        <v>115</v>
      </c>
      <c r="AU33" s="1" t="s">
        <v>1302</v>
      </c>
      <c r="AV33" s="1" t="s">
        <v>138</v>
      </c>
      <c r="AW33" s="1" t="s">
        <v>1303</v>
      </c>
      <c r="AX33" s="1" t="s">
        <v>191</v>
      </c>
      <c r="AY33" s="1" t="s">
        <v>122</v>
      </c>
      <c r="AZ33" s="1" t="s">
        <v>1304</v>
      </c>
      <c r="BA33" s="1" t="s">
        <v>223</v>
      </c>
      <c r="BB33" s="1" t="s">
        <v>486</v>
      </c>
      <c r="BC33" s="1" t="s">
        <v>94</v>
      </c>
      <c r="BD33" s="1" t="s">
        <v>94</v>
      </c>
      <c r="BE33" s="1" t="s">
        <v>1305</v>
      </c>
      <c r="BF33" s="1" t="s">
        <v>231</v>
      </c>
      <c r="BG33" s="1" t="s">
        <v>122</v>
      </c>
      <c r="BH33" s="1" t="s">
        <v>1306</v>
      </c>
      <c r="BI33" s="1" t="s">
        <v>234</v>
      </c>
      <c r="BJ33" s="1" t="s">
        <v>489</v>
      </c>
      <c r="BK33" s="1" t="s">
        <v>215</v>
      </c>
      <c r="BL33" s="1" t="s">
        <v>240</v>
      </c>
      <c r="BM33" s="1" t="s">
        <v>1307</v>
      </c>
      <c r="BN33" s="1" t="s">
        <v>1308</v>
      </c>
      <c r="BO33" s="26">
        <f>IF(COUNTIF('MMAT Appraisal'!$A$2:$A$60,A33)=0,"",INDEX('MMAT Appraisal'!$K$2:$K$60,MATCH(A33,'MMAT Appraisal'!$A$2:$A$60,0)))</f>
        <v>3</v>
      </c>
      <c r="BP33" s="1" t="str">
        <f t="shared" si="0"/>
        <v>Low</v>
      </c>
      <c r="BQ33" s="1" t="s">
        <v>122</v>
      </c>
      <c r="BR33" s="1" t="s">
        <v>122</v>
      </c>
      <c r="BS33" s="1" t="s">
        <v>525</v>
      </c>
      <c r="BT33" s="1" t="s">
        <v>526</v>
      </c>
      <c r="BU33" s="1" t="s">
        <v>494</v>
      </c>
      <c r="BV33" s="1" t="s">
        <v>1309</v>
      </c>
    </row>
    <row r="34" spans="1:74" ht="341.25" customHeight="1" x14ac:dyDescent="0.25">
      <c r="A34" s="22">
        <v>33</v>
      </c>
      <c r="B34" s="22"/>
      <c r="C34" s="22" t="s">
        <v>1310</v>
      </c>
      <c r="D34" s="22" t="s">
        <v>1311</v>
      </c>
      <c r="E34" s="22" t="s">
        <v>1312</v>
      </c>
      <c r="F34" s="22" t="s">
        <v>338</v>
      </c>
      <c r="G34" s="22">
        <v>2023</v>
      </c>
      <c r="H34" s="22" t="s">
        <v>1313</v>
      </c>
      <c r="I34" s="22">
        <v>1</v>
      </c>
      <c r="J34" s="22" t="s">
        <v>1314</v>
      </c>
      <c r="K34" s="23" t="s">
        <v>1315</v>
      </c>
      <c r="L34" s="22" t="s">
        <v>1316</v>
      </c>
      <c r="M34" s="22" t="s">
        <v>1317</v>
      </c>
      <c r="N34" s="22" t="s">
        <v>1318</v>
      </c>
      <c r="O34" s="22" t="s">
        <v>1319</v>
      </c>
      <c r="P34" s="22" t="s">
        <v>1320</v>
      </c>
      <c r="Q34" s="22" t="s">
        <v>466</v>
      </c>
      <c r="R34" s="22" t="s">
        <v>467</v>
      </c>
      <c r="S34" s="22" t="s">
        <v>468</v>
      </c>
      <c r="T34" s="22" t="s">
        <v>469</v>
      </c>
      <c r="U34" s="22"/>
      <c r="V34" s="22" t="s">
        <v>470</v>
      </c>
      <c r="W34" s="22" t="s">
        <v>471</v>
      </c>
      <c r="X34" s="22" t="s">
        <v>472</v>
      </c>
      <c r="Y34" s="22" t="s">
        <v>775</v>
      </c>
      <c r="Z34" s="22" t="s">
        <v>475</v>
      </c>
      <c r="AA34" s="22" t="s">
        <v>514</v>
      </c>
      <c r="AB34" s="22" t="s">
        <v>1321</v>
      </c>
      <c r="AC34" s="22" t="s">
        <v>1210</v>
      </c>
      <c r="AD34" s="25" t="s">
        <v>1322</v>
      </c>
      <c r="AE34" s="25" t="s">
        <v>1323</v>
      </c>
      <c r="AF34" s="25" t="s">
        <v>1324</v>
      </c>
      <c r="AG34" s="25" t="s">
        <v>1325</v>
      </c>
      <c r="AH34" s="25" t="s">
        <v>1326</v>
      </c>
      <c r="AI34" s="25"/>
      <c r="AJ34" s="25"/>
      <c r="AK34" s="25"/>
      <c r="AL34" s="22"/>
      <c r="AM34" s="22" t="s">
        <v>474</v>
      </c>
      <c r="AN34" s="22" t="s">
        <v>476</v>
      </c>
      <c r="AO34" s="22"/>
      <c r="AP34" s="22"/>
      <c r="AQ34" s="22"/>
      <c r="AR34" s="1" t="s">
        <v>154</v>
      </c>
      <c r="AS34" s="1" t="s">
        <v>144</v>
      </c>
      <c r="AT34" s="1" t="s">
        <v>119</v>
      </c>
      <c r="AU34" s="1" t="s">
        <v>1327</v>
      </c>
      <c r="AV34" s="1" t="s">
        <v>135</v>
      </c>
      <c r="AW34" s="1" t="s">
        <v>1328</v>
      </c>
      <c r="AX34" s="1" t="s">
        <v>187</v>
      </c>
      <c r="AY34" s="1" t="s">
        <v>125</v>
      </c>
      <c r="AZ34" s="1" t="s">
        <v>1329</v>
      </c>
      <c r="BA34" s="1" t="s">
        <v>223</v>
      </c>
      <c r="BB34" s="1" t="s">
        <v>486</v>
      </c>
      <c r="BC34" s="1" t="s">
        <v>486</v>
      </c>
      <c r="BD34" s="1" t="s">
        <v>94</v>
      </c>
      <c r="BE34" s="1" t="s">
        <v>1330</v>
      </c>
      <c r="BF34" s="1" t="s">
        <v>231</v>
      </c>
      <c r="BG34" s="1" t="s">
        <v>122</v>
      </c>
      <c r="BH34" s="1" t="s">
        <v>1331</v>
      </c>
      <c r="BI34" s="1" t="s">
        <v>237</v>
      </c>
      <c r="BJ34" s="1" t="s">
        <v>489</v>
      </c>
      <c r="BK34" s="1" t="s">
        <v>215</v>
      </c>
      <c r="BL34" s="1" t="s">
        <v>240</v>
      </c>
      <c r="BM34" s="1" t="s">
        <v>1332</v>
      </c>
      <c r="BN34" s="1" t="s">
        <v>491</v>
      </c>
      <c r="BO34" s="26">
        <f>IF(COUNTIF('MMAT Appraisal'!$A$2:$A$60,A34)=0,"",INDEX('MMAT Appraisal'!$K$2:$K$60,MATCH(A34,'MMAT Appraisal'!$A$2:$A$60,0)))</f>
        <v>2</v>
      </c>
      <c r="BP34" s="1" t="str">
        <f t="shared" si="0"/>
        <v>Low</v>
      </c>
      <c r="BQ34" s="1" t="s">
        <v>1333</v>
      </c>
      <c r="BR34" s="1" t="s">
        <v>258</v>
      </c>
      <c r="BS34" s="1" t="s">
        <v>525</v>
      </c>
      <c r="BT34" s="1" t="s">
        <v>526</v>
      </c>
      <c r="BU34" s="1" t="s">
        <v>494</v>
      </c>
      <c r="BV34" s="1" t="s">
        <v>1334</v>
      </c>
    </row>
    <row r="35" spans="1:74" ht="341.25" customHeight="1" x14ac:dyDescent="0.25">
      <c r="A35" s="22">
        <v>34</v>
      </c>
      <c r="B35" s="22"/>
      <c r="C35" s="22" t="s">
        <v>1335</v>
      </c>
      <c r="D35" s="22" t="s">
        <v>1336</v>
      </c>
      <c r="E35" s="22" t="s">
        <v>1337</v>
      </c>
      <c r="F35" s="22" t="s">
        <v>340</v>
      </c>
      <c r="G35" s="22">
        <v>2020</v>
      </c>
      <c r="H35" s="22" t="s">
        <v>1338</v>
      </c>
      <c r="I35" s="22">
        <v>1</v>
      </c>
      <c r="J35" s="22" t="s">
        <v>1339</v>
      </c>
      <c r="K35" s="23" t="s">
        <v>1340</v>
      </c>
      <c r="L35" s="22" t="s">
        <v>1341</v>
      </c>
      <c r="M35" s="22" t="s">
        <v>1342</v>
      </c>
      <c r="N35" s="22" t="s">
        <v>1343</v>
      </c>
      <c r="O35" s="22" t="s">
        <v>1344</v>
      </c>
      <c r="P35" s="22" t="s">
        <v>1345</v>
      </c>
      <c r="Q35" s="22" t="s">
        <v>466</v>
      </c>
      <c r="R35" s="22" t="s">
        <v>467</v>
      </c>
      <c r="S35" s="22" t="s">
        <v>468</v>
      </c>
      <c r="T35" s="22" t="s">
        <v>469</v>
      </c>
      <c r="U35" s="22"/>
      <c r="V35" s="22" t="s">
        <v>470</v>
      </c>
      <c r="W35" s="27" t="s">
        <v>471</v>
      </c>
      <c r="X35" s="27" t="s">
        <v>472</v>
      </c>
      <c r="Y35" s="22" t="s">
        <v>1346</v>
      </c>
      <c r="Z35" s="22" t="s">
        <v>475</v>
      </c>
      <c r="AA35" s="22" t="s">
        <v>514</v>
      </c>
      <c r="AB35" s="22"/>
      <c r="AC35" s="22" t="s">
        <v>1210</v>
      </c>
      <c r="AD35" s="25" t="s">
        <v>1347</v>
      </c>
      <c r="AE35" s="25" t="s">
        <v>1348</v>
      </c>
      <c r="AF35" s="25" t="s">
        <v>1349</v>
      </c>
      <c r="AG35" s="25" t="s">
        <v>1350</v>
      </c>
      <c r="AH35" s="25" t="s">
        <v>1351</v>
      </c>
      <c r="AI35" s="25"/>
      <c r="AJ35" s="25"/>
      <c r="AK35" s="25"/>
      <c r="AL35" s="22"/>
      <c r="AM35" s="22" t="s">
        <v>513</v>
      </c>
      <c r="AN35" s="22" t="s">
        <v>476</v>
      </c>
      <c r="AO35" s="22"/>
      <c r="AP35" s="22"/>
      <c r="AQ35" s="22"/>
      <c r="AR35" s="1" t="s">
        <v>153</v>
      </c>
      <c r="AS35" s="1" t="s">
        <v>144</v>
      </c>
      <c r="AT35" s="1" t="s">
        <v>122</v>
      </c>
      <c r="AU35" s="1" t="s">
        <v>1352</v>
      </c>
      <c r="AV35" s="1" t="s">
        <v>138</v>
      </c>
      <c r="AW35" s="1" t="s">
        <v>1353</v>
      </c>
      <c r="AX35" s="1" t="s">
        <v>187</v>
      </c>
      <c r="AY35" s="1" t="s">
        <v>125</v>
      </c>
      <c r="AZ35" s="1" t="s">
        <v>1354</v>
      </c>
      <c r="BA35" s="1" t="s">
        <v>226</v>
      </c>
      <c r="BB35" s="1" t="s">
        <v>486</v>
      </c>
      <c r="BC35" s="1" t="s">
        <v>94</v>
      </c>
      <c r="BD35" s="1" t="s">
        <v>94</v>
      </c>
      <c r="BE35" s="1" t="s">
        <v>1355</v>
      </c>
      <c r="BF35" s="1" t="s">
        <v>231</v>
      </c>
      <c r="BG35" s="1" t="s">
        <v>122</v>
      </c>
      <c r="BH35" s="1" t="s">
        <v>1356</v>
      </c>
      <c r="BI35" s="1" t="s">
        <v>237</v>
      </c>
      <c r="BJ35" s="1" t="s">
        <v>218</v>
      </c>
      <c r="BK35" s="1" t="s">
        <v>218</v>
      </c>
      <c r="BL35" s="1" t="s">
        <v>241</v>
      </c>
      <c r="BM35" s="1" t="s">
        <v>1357</v>
      </c>
      <c r="BN35" s="1" t="s">
        <v>1358</v>
      </c>
      <c r="BO35" s="26">
        <f>IF(COUNTIF('MMAT Appraisal'!$A$2:$A$60,A35)=0,"",INDEX('MMAT Appraisal'!$K$2:$K$60,MATCH(A35,'MMAT Appraisal'!$A$2:$A$60,0)))</f>
        <v>0</v>
      </c>
      <c r="BP35" s="1" t="str">
        <f t="shared" si="0"/>
        <v>Low</v>
      </c>
      <c r="BQ35" s="1" t="s">
        <v>122</v>
      </c>
      <c r="BR35" s="1" t="s">
        <v>122</v>
      </c>
      <c r="BS35" s="1" t="s">
        <v>733</v>
      </c>
      <c r="BT35" s="1" t="s">
        <v>1359</v>
      </c>
      <c r="BU35" s="1" t="s">
        <v>494</v>
      </c>
      <c r="BV35" s="1" t="s">
        <v>1360</v>
      </c>
    </row>
    <row r="36" spans="1:74" ht="341.25" customHeight="1" x14ac:dyDescent="0.25">
      <c r="A36" s="22">
        <v>35</v>
      </c>
      <c r="B36" s="22"/>
      <c r="C36" s="22" t="s">
        <v>1361</v>
      </c>
      <c r="D36" s="22" t="s">
        <v>1362</v>
      </c>
      <c r="E36" s="22" t="s">
        <v>1363</v>
      </c>
      <c r="F36" s="22" t="s">
        <v>342</v>
      </c>
      <c r="G36" s="22">
        <v>2023</v>
      </c>
      <c r="H36" s="22" t="s">
        <v>1364</v>
      </c>
      <c r="I36" s="22">
        <v>24</v>
      </c>
      <c r="J36" s="22" t="s">
        <v>1365</v>
      </c>
      <c r="K36" s="23" t="s">
        <v>1366</v>
      </c>
      <c r="L36" s="22" t="s">
        <v>1367</v>
      </c>
      <c r="M36" s="22" t="s">
        <v>1368</v>
      </c>
      <c r="N36" s="22" t="s">
        <v>1369</v>
      </c>
      <c r="O36" s="22" t="s">
        <v>1370</v>
      </c>
      <c r="P36" s="22"/>
      <c r="Q36" s="22" t="s">
        <v>1371</v>
      </c>
      <c r="R36" s="22" t="s">
        <v>467</v>
      </c>
      <c r="S36" s="22" t="s">
        <v>506</v>
      </c>
      <c r="T36" s="22" t="s">
        <v>469</v>
      </c>
      <c r="U36" s="22" t="s">
        <v>564</v>
      </c>
      <c r="V36" s="22" t="s">
        <v>470</v>
      </c>
      <c r="W36" s="22" t="s">
        <v>471</v>
      </c>
      <c r="X36" s="22" t="s">
        <v>1372</v>
      </c>
      <c r="Y36" s="22" t="s">
        <v>775</v>
      </c>
      <c r="Z36" s="22" t="s">
        <v>514</v>
      </c>
      <c r="AA36" s="22" t="s">
        <v>513</v>
      </c>
      <c r="AB36" s="22"/>
      <c r="AC36" s="22" t="s">
        <v>1373</v>
      </c>
      <c r="AD36" s="25" t="s">
        <v>1374</v>
      </c>
      <c r="AE36" s="25" t="s">
        <v>1375</v>
      </c>
      <c r="AF36" s="25" t="s">
        <v>1376</v>
      </c>
      <c r="AG36" s="25" t="s">
        <v>1377</v>
      </c>
      <c r="AH36" s="25" t="s">
        <v>1378</v>
      </c>
      <c r="AI36" s="25"/>
      <c r="AJ36" s="25"/>
      <c r="AK36" s="25"/>
      <c r="AL36" s="22" t="s">
        <v>783</v>
      </c>
      <c r="AM36" s="22" t="s">
        <v>514</v>
      </c>
      <c r="AN36" s="25" t="s">
        <v>1379</v>
      </c>
      <c r="AO36" s="22"/>
      <c r="AP36" s="22"/>
      <c r="AQ36" s="22"/>
      <c r="AR36" s="1" t="s">
        <v>172</v>
      </c>
      <c r="AS36" s="1" t="s">
        <v>144</v>
      </c>
      <c r="AT36" s="1" t="s">
        <v>178</v>
      </c>
      <c r="AU36" s="1" t="s">
        <v>1380</v>
      </c>
      <c r="AV36" s="1" t="s">
        <v>137</v>
      </c>
      <c r="AW36" s="1" t="s">
        <v>1381</v>
      </c>
      <c r="AX36" s="1" t="s">
        <v>195</v>
      </c>
      <c r="AY36" s="1" t="s">
        <v>127</v>
      </c>
      <c r="AZ36" s="1" t="s">
        <v>1382</v>
      </c>
      <c r="BA36" s="1" t="s">
        <v>223</v>
      </c>
      <c r="BB36" s="1" t="s">
        <v>94</v>
      </c>
      <c r="BC36" s="1" t="s">
        <v>94</v>
      </c>
      <c r="BD36" s="1" t="s">
        <v>486</v>
      </c>
      <c r="BE36" s="1" t="s">
        <v>1383</v>
      </c>
      <c r="BF36" s="1" t="s">
        <v>231</v>
      </c>
      <c r="BG36" s="1" t="s">
        <v>122</v>
      </c>
      <c r="BH36" s="1" t="s">
        <v>1384</v>
      </c>
      <c r="BI36" s="1" t="s">
        <v>234</v>
      </c>
      <c r="BJ36" s="1" t="s">
        <v>521</v>
      </c>
      <c r="BK36" s="1" t="s">
        <v>217</v>
      </c>
      <c r="BL36" s="1" t="s">
        <v>240</v>
      </c>
      <c r="BM36" s="1" t="s">
        <v>1385</v>
      </c>
      <c r="BN36" s="1" t="s">
        <v>1386</v>
      </c>
      <c r="BO36" s="26">
        <f>IF(COUNTIF('MMAT Appraisal'!$A$2:$A$60,A36)=0,"",INDEX('MMAT Appraisal'!$K$2:$K$60,MATCH(A36,'MMAT Appraisal'!$A$2:$A$60,0)))</f>
        <v>3</v>
      </c>
      <c r="BP36" s="1" t="str">
        <f t="shared" si="0"/>
        <v>Low</v>
      </c>
      <c r="BQ36" s="1" t="s">
        <v>1387</v>
      </c>
      <c r="BR36" s="1" t="s">
        <v>258</v>
      </c>
      <c r="BS36" s="1" t="s">
        <v>733</v>
      </c>
      <c r="BT36" s="1" t="s">
        <v>850</v>
      </c>
      <c r="BU36" s="1" t="s">
        <v>494</v>
      </c>
      <c r="BV36" s="1" t="s">
        <v>1388</v>
      </c>
    </row>
    <row r="37" spans="1:74" ht="341.25" customHeight="1" x14ac:dyDescent="0.25">
      <c r="A37" s="22">
        <v>36</v>
      </c>
      <c r="B37" s="22"/>
      <c r="C37" s="22" t="s">
        <v>1389</v>
      </c>
      <c r="D37" s="22" t="s">
        <v>1390</v>
      </c>
      <c r="E37" s="22" t="s">
        <v>1391</v>
      </c>
      <c r="F37" s="22" t="s">
        <v>344</v>
      </c>
      <c r="G37" s="22">
        <v>2024</v>
      </c>
      <c r="H37" s="22" t="s">
        <v>1392</v>
      </c>
      <c r="I37" s="22">
        <v>0</v>
      </c>
      <c r="J37" s="22" t="s">
        <v>1393</v>
      </c>
      <c r="K37" s="23" t="s">
        <v>1394</v>
      </c>
      <c r="L37" s="22" t="s">
        <v>1395</v>
      </c>
      <c r="M37" s="22" t="s">
        <v>1396</v>
      </c>
      <c r="N37" s="22" t="s">
        <v>1397</v>
      </c>
      <c r="O37" s="22" t="s">
        <v>1398</v>
      </c>
      <c r="P37" s="22"/>
      <c r="Q37" s="22" t="s">
        <v>1399</v>
      </c>
      <c r="R37" s="22" t="s">
        <v>467</v>
      </c>
      <c r="S37" s="22" t="s">
        <v>506</v>
      </c>
      <c r="T37" s="22" t="s">
        <v>469</v>
      </c>
      <c r="U37" s="22"/>
      <c r="V37" s="22" t="s">
        <v>470</v>
      </c>
      <c r="W37" s="22" t="s">
        <v>471</v>
      </c>
      <c r="X37" s="22" t="s">
        <v>472</v>
      </c>
      <c r="Y37" s="22" t="s">
        <v>775</v>
      </c>
      <c r="Z37" s="22" t="s">
        <v>514</v>
      </c>
      <c r="AA37" s="22" t="s">
        <v>513</v>
      </c>
      <c r="AB37" s="22"/>
      <c r="AC37" s="22"/>
      <c r="AD37" s="25" t="s">
        <v>1400</v>
      </c>
      <c r="AE37" s="25" t="s">
        <v>1401</v>
      </c>
      <c r="AF37" s="25" t="s">
        <v>1402</v>
      </c>
      <c r="AG37" s="25" t="s">
        <v>1403</v>
      </c>
      <c r="AH37" s="25" t="s">
        <v>1404</v>
      </c>
      <c r="AI37" s="25"/>
      <c r="AJ37" s="25"/>
      <c r="AK37" s="25"/>
      <c r="AL37" s="22" t="s">
        <v>1014</v>
      </c>
      <c r="AM37" s="22" t="s">
        <v>474</v>
      </c>
      <c r="AN37" s="22" t="s">
        <v>476</v>
      </c>
      <c r="AO37" s="22"/>
      <c r="AP37" s="25" t="s">
        <v>1405</v>
      </c>
      <c r="AQ37" s="22" t="s">
        <v>1406</v>
      </c>
      <c r="AR37" s="1" t="s">
        <v>155</v>
      </c>
      <c r="AS37" s="1" t="s">
        <v>144</v>
      </c>
      <c r="AT37" s="1" t="s">
        <v>118</v>
      </c>
      <c r="AU37" s="1" t="s">
        <v>1407</v>
      </c>
      <c r="AV37" s="1" t="s">
        <v>132</v>
      </c>
      <c r="AW37" s="1" t="s">
        <v>1408</v>
      </c>
      <c r="AX37" s="1" t="s">
        <v>187</v>
      </c>
      <c r="AY37" s="1" t="s">
        <v>125</v>
      </c>
      <c r="AZ37" s="1" t="s">
        <v>1409</v>
      </c>
      <c r="BA37" s="1" t="s">
        <v>223</v>
      </c>
      <c r="BB37" s="1" t="s">
        <v>486</v>
      </c>
      <c r="BC37" s="1" t="s">
        <v>486</v>
      </c>
      <c r="BD37" s="1" t="s">
        <v>94</v>
      </c>
      <c r="BE37" s="1" t="s">
        <v>1410</v>
      </c>
      <c r="BF37" s="1" t="s">
        <v>231</v>
      </c>
      <c r="BG37" s="1" t="s">
        <v>122</v>
      </c>
      <c r="BH37" s="1" t="s">
        <v>1411</v>
      </c>
      <c r="BI37" s="1" t="s">
        <v>237</v>
      </c>
      <c r="BJ37" s="1" t="s">
        <v>759</v>
      </c>
      <c r="BK37" s="1" t="s">
        <v>215</v>
      </c>
      <c r="BL37" s="1" t="s">
        <v>240</v>
      </c>
      <c r="BM37" s="1" t="s">
        <v>1412</v>
      </c>
      <c r="BN37" s="1" t="s">
        <v>491</v>
      </c>
      <c r="BO37" s="26">
        <f>IF(COUNTIF('MMAT Appraisal'!$A$2:$A$60,A37)=0,"",INDEX('MMAT Appraisal'!$K$2:$K$60,MATCH(A37,'MMAT Appraisal'!$A$2:$A$60,0)))</f>
        <v>0</v>
      </c>
      <c r="BP37" s="1" t="str">
        <f t="shared" si="0"/>
        <v>Low</v>
      </c>
      <c r="BQ37" s="1" t="s">
        <v>1413</v>
      </c>
      <c r="BR37" s="1" t="s">
        <v>258</v>
      </c>
      <c r="BS37" s="1" t="s">
        <v>525</v>
      </c>
      <c r="BT37" s="1" t="s">
        <v>526</v>
      </c>
      <c r="BU37" s="1" t="s">
        <v>494</v>
      </c>
      <c r="BV37" s="1" t="s">
        <v>1414</v>
      </c>
    </row>
    <row r="38" spans="1:74" ht="341.25" customHeight="1" x14ac:dyDescent="0.25">
      <c r="A38" s="22">
        <v>37</v>
      </c>
      <c r="B38" s="22"/>
      <c r="C38" s="22" t="s">
        <v>1415</v>
      </c>
      <c r="D38" s="22" t="s">
        <v>1416</v>
      </c>
      <c r="E38" s="22" t="s">
        <v>1417</v>
      </c>
      <c r="F38" s="22" t="s">
        <v>346</v>
      </c>
      <c r="G38" s="22">
        <v>2022</v>
      </c>
      <c r="H38" s="22" t="s">
        <v>1418</v>
      </c>
      <c r="I38" s="22">
        <v>2</v>
      </c>
      <c r="J38" s="22" t="s">
        <v>1419</v>
      </c>
      <c r="K38" s="23" t="s">
        <v>1420</v>
      </c>
      <c r="L38" s="22" t="s">
        <v>1421</v>
      </c>
      <c r="M38" s="22" t="s">
        <v>1422</v>
      </c>
      <c r="N38" s="22" t="s">
        <v>1423</v>
      </c>
      <c r="O38" s="22" t="s">
        <v>1424</v>
      </c>
      <c r="P38" s="22" t="s">
        <v>1425</v>
      </c>
      <c r="Q38" s="22" t="s">
        <v>466</v>
      </c>
      <c r="R38" s="22" t="s">
        <v>467</v>
      </c>
      <c r="S38" s="22" t="s">
        <v>468</v>
      </c>
      <c r="T38" s="22" t="s">
        <v>469</v>
      </c>
      <c r="U38" s="22"/>
      <c r="V38" s="22" t="s">
        <v>470</v>
      </c>
      <c r="W38" s="22" t="s">
        <v>471</v>
      </c>
      <c r="X38" s="22" t="s">
        <v>472</v>
      </c>
      <c r="Y38" s="22" t="s">
        <v>775</v>
      </c>
      <c r="Z38" s="22" t="s">
        <v>514</v>
      </c>
      <c r="AA38" s="22" t="s">
        <v>513</v>
      </c>
      <c r="AB38" s="22"/>
      <c r="AC38" s="22"/>
      <c r="AD38" s="25" t="s">
        <v>1426</v>
      </c>
      <c r="AE38" s="25" t="s">
        <v>1427</v>
      </c>
      <c r="AF38" s="25" t="s">
        <v>1428</v>
      </c>
      <c r="AG38" s="25" t="s">
        <v>1429</v>
      </c>
      <c r="AH38" s="25" t="s">
        <v>1430</v>
      </c>
      <c r="AI38" s="25"/>
      <c r="AJ38" s="25"/>
      <c r="AK38" s="25"/>
      <c r="AL38" s="22" t="s">
        <v>1431</v>
      </c>
      <c r="AM38" s="22" t="s">
        <v>513</v>
      </c>
      <c r="AN38" s="22" t="s">
        <v>476</v>
      </c>
      <c r="AO38" s="22"/>
      <c r="AP38" s="22"/>
      <c r="AQ38" s="22"/>
      <c r="AR38" s="1" t="s">
        <v>175</v>
      </c>
      <c r="AS38" s="1" t="s">
        <v>144</v>
      </c>
      <c r="AT38" s="1" t="s">
        <v>178</v>
      </c>
      <c r="AU38" s="1" t="s">
        <v>1432</v>
      </c>
      <c r="AV38" s="1" t="s">
        <v>138</v>
      </c>
      <c r="AW38" s="1" t="s">
        <v>1433</v>
      </c>
      <c r="AX38" s="1" t="s">
        <v>187</v>
      </c>
      <c r="AY38" s="1" t="s">
        <v>129</v>
      </c>
      <c r="AZ38" s="1" t="s">
        <v>1434</v>
      </c>
      <c r="BA38" s="1" t="s">
        <v>227</v>
      </c>
      <c r="BB38" s="1" t="s">
        <v>486</v>
      </c>
      <c r="BC38" s="1" t="s">
        <v>486</v>
      </c>
      <c r="BD38" s="1" t="s">
        <v>94</v>
      </c>
      <c r="BE38" s="1" t="s">
        <v>1435</v>
      </c>
      <c r="BF38" s="1" t="s">
        <v>231</v>
      </c>
      <c r="BG38" s="1" t="s">
        <v>122</v>
      </c>
      <c r="BH38" s="1" t="s">
        <v>1436</v>
      </c>
      <c r="BI38" s="1" t="s">
        <v>237</v>
      </c>
      <c r="BJ38" s="1" t="s">
        <v>218</v>
      </c>
      <c r="BK38" s="1" t="s">
        <v>218</v>
      </c>
      <c r="BL38" s="1" t="s">
        <v>240</v>
      </c>
      <c r="BM38" s="1" t="s">
        <v>1437</v>
      </c>
      <c r="BN38" s="1" t="s">
        <v>1438</v>
      </c>
      <c r="BO38" s="26">
        <f>IF(COUNTIF('MMAT Appraisal'!$A$2:$A$60,A38)=0,"",INDEX('MMAT Appraisal'!$K$2:$K$60,MATCH(A38,'MMAT Appraisal'!$A$2:$A$60,0)))</f>
        <v>1</v>
      </c>
      <c r="BP38" s="1" t="str">
        <f t="shared" si="0"/>
        <v>Low</v>
      </c>
      <c r="BQ38" s="1" t="s">
        <v>1439</v>
      </c>
      <c r="BR38" s="1" t="s">
        <v>258</v>
      </c>
      <c r="BS38" s="1" t="s">
        <v>733</v>
      </c>
      <c r="BT38" s="1" t="s">
        <v>1440</v>
      </c>
      <c r="BU38" s="1" t="s">
        <v>494</v>
      </c>
      <c r="BV38" s="1" t="s">
        <v>1441</v>
      </c>
    </row>
    <row r="39" spans="1:74" ht="341.25" customHeight="1" x14ac:dyDescent="0.25">
      <c r="A39" s="22">
        <v>38</v>
      </c>
      <c r="B39" s="22"/>
      <c r="C39" s="22" t="s">
        <v>1442</v>
      </c>
      <c r="D39" s="22" t="s">
        <v>1443</v>
      </c>
      <c r="E39" s="22" t="s">
        <v>1444</v>
      </c>
      <c r="F39" s="22" t="s">
        <v>348</v>
      </c>
      <c r="G39" s="22">
        <v>2022</v>
      </c>
      <c r="H39" s="22" t="s">
        <v>1445</v>
      </c>
      <c r="I39" s="22">
        <v>0</v>
      </c>
      <c r="J39" s="22" t="s">
        <v>1446</v>
      </c>
      <c r="K39" s="23" t="s">
        <v>1447</v>
      </c>
      <c r="L39" s="22" t="s">
        <v>1448</v>
      </c>
      <c r="M39" s="22" t="s">
        <v>1449</v>
      </c>
      <c r="N39" s="22" t="s">
        <v>1450</v>
      </c>
      <c r="O39" s="22" t="s">
        <v>1451</v>
      </c>
      <c r="P39" s="22" t="s">
        <v>1452</v>
      </c>
      <c r="Q39" s="22" t="s">
        <v>466</v>
      </c>
      <c r="R39" s="22" t="s">
        <v>467</v>
      </c>
      <c r="S39" s="22" t="s">
        <v>468</v>
      </c>
      <c r="T39" s="22" t="s">
        <v>469</v>
      </c>
      <c r="U39" s="22"/>
      <c r="V39" s="22" t="s">
        <v>470</v>
      </c>
      <c r="W39" s="22" t="s">
        <v>471</v>
      </c>
      <c r="X39" s="22" t="s">
        <v>472</v>
      </c>
      <c r="Y39" s="22" t="s">
        <v>775</v>
      </c>
      <c r="Z39" s="22" t="s">
        <v>514</v>
      </c>
      <c r="AA39" s="22" t="s">
        <v>513</v>
      </c>
      <c r="AB39" s="22"/>
      <c r="AC39" s="22"/>
      <c r="AD39" s="25" t="s">
        <v>1453</v>
      </c>
      <c r="AE39" s="25" t="s">
        <v>1454</v>
      </c>
      <c r="AF39" s="25" t="s">
        <v>1455</v>
      </c>
      <c r="AG39" s="25" t="s">
        <v>1456</v>
      </c>
      <c r="AH39" s="25" t="s">
        <v>1457</v>
      </c>
      <c r="AI39" s="25"/>
      <c r="AJ39" s="25"/>
      <c r="AK39" s="25"/>
      <c r="AL39" s="22" t="s">
        <v>570</v>
      </c>
      <c r="AM39" s="22" t="s">
        <v>514</v>
      </c>
      <c r="AN39" s="22" t="s">
        <v>476</v>
      </c>
      <c r="AO39" s="22"/>
      <c r="AP39" s="22"/>
      <c r="AQ39" s="22"/>
      <c r="AR39" s="1" t="s">
        <v>166</v>
      </c>
      <c r="AS39" s="1" t="s">
        <v>146</v>
      </c>
      <c r="AT39" s="1" t="s">
        <v>115</v>
      </c>
      <c r="AU39" s="1" t="s">
        <v>1458</v>
      </c>
      <c r="AV39" s="1" t="s">
        <v>135</v>
      </c>
      <c r="AW39" s="1" t="s">
        <v>1459</v>
      </c>
      <c r="AX39" s="1" t="s">
        <v>192</v>
      </c>
      <c r="AY39" s="1" t="s">
        <v>127</v>
      </c>
      <c r="AZ39" s="1" t="s">
        <v>1460</v>
      </c>
      <c r="BA39" s="1" t="s">
        <v>223</v>
      </c>
      <c r="BB39" s="1" t="s">
        <v>486</v>
      </c>
      <c r="BC39" s="1" t="s">
        <v>94</v>
      </c>
      <c r="BD39" s="1" t="s">
        <v>94</v>
      </c>
      <c r="BE39" s="1" t="s">
        <v>1461</v>
      </c>
      <c r="BF39" s="1" t="s">
        <v>231</v>
      </c>
      <c r="BG39" s="1" t="s">
        <v>122</v>
      </c>
      <c r="BH39" s="1" t="s">
        <v>1462</v>
      </c>
      <c r="BI39" s="1" t="s">
        <v>236</v>
      </c>
      <c r="BJ39" s="1" t="s">
        <v>1463</v>
      </c>
      <c r="BK39" s="1" t="s">
        <v>216</v>
      </c>
      <c r="BL39" s="1" t="s">
        <v>241</v>
      </c>
      <c r="BM39" s="1" t="s">
        <v>1464</v>
      </c>
      <c r="BN39" s="1" t="s">
        <v>1465</v>
      </c>
      <c r="BO39" s="26">
        <f>IF(COUNTIF('MMAT Appraisal'!$A$2:$A$60,A39)=0,"",INDEX('MMAT Appraisal'!$K$2:$K$60,MATCH(A39,'MMAT Appraisal'!$A$2:$A$60,0)))</f>
        <v>2</v>
      </c>
      <c r="BP39" s="1" t="str">
        <f t="shared" si="0"/>
        <v>Low</v>
      </c>
      <c r="BQ39" s="1" t="s">
        <v>1466</v>
      </c>
      <c r="BR39" s="1" t="s">
        <v>258</v>
      </c>
      <c r="BS39" s="1" t="s">
        <v>525</v>
      </c>
      <c r="BT39" s="1" t="s">
        <v>526</v>
      </c>
      <c r="BU39" s="1" t="s">
        <v>494</v>
      </c>
      <c r="BV39" s="1" t="s">
        <v>1467</v>
      </c>
    </row>
    <row r="40" spans="1:74" ht="341.25" customHeight="1" x14ac:dyDescent="0.25">
      <c r="A40" s="22">
        <v>39</v>
      </c>
      <c r="B40" s="22"/>
      <c r="C40" s="22" t="s">
        <v>1468</v>
      </c>
      <c r="D40" s="22" t="s">
        <v>1469</v>
      </c>
      <c r="E40" s="22" t="s">
        <v>1470</v>
      </c>
      <c r="F40" s="22" t="s">
        <v>350</v>
      </c>
      <c r="G40" s="22">
        <v>2021</v>
      </c>
      <c r="H40" s="22" t="s">
        <v>531</v>
      </c>
      <c r="I40" s="22">
        <v>18</v>
      </c>
      <c r="J40" s="22" t="s">
        <v>1471</v>
      </c>
      <c r="K40" s="23" t="s">
        <v>1472</v>
      </c>
      <c r="L40" s="22" t="s">
        <v>1473</v>
      </c>
      <c r="M40" s="22" t="s">
        <v>1474</v>
      </c>
      <c r="N40" s="22" t="s">
        <v>1475</v>
      </c>
      <c r="O40" s="22" t="s">
        <v>1476</v>
      </c>
      <c r="P40" s="22" t="s">
        <v>1477</v>
      </c>
      <c r="Q40" s="22" t="s">
        <v>505</v>
      </c>
      <c r="R40" s="22" t="s">
        <v>467</v>
      </c>
      <c r="S40" s="22" t="s">
        <v>506</v>
      </c>
      <c r="T40" s="22" t="s">
        <v>469</v>
      </c>
      <c r="U40" s="22"/>
      <c r="V40" s="22" t="s">
        <v>470</v>
      </c>
      <c r="W40" s="22" t="s">
        <v>471</v>
      </c>
      <c r="X40" s="22" t="s">
        <v>472</v>
      </c>
      <c r="Y40" s="22" t="s">
        <v>775</v>
      </c>
      <c r="Z40" s="22" t="s">
        <v>514</v>
      </c>
      <c r="AA40" s="22" t="s">
        <v>513</v>
      </c>
      <c r="AB40" s="22"/>
      <c r="AC40" s="22"/>
      <c r="AD40" s="25" t="s">
        <v>1478</v>
      </c>
      <c r="AE40" s="25" t="s">
        <v>1479</v>
      </c>
      <c r="AF40" s="25" t="s">
        <v>1480</v>
      </c>
      <c r="AG40" s="25" t="s">
        <v>1481</v>
      </c>
      <c r="AH40" s="25" t="s">
        <v>1482</v>
      </c>
      <c r="AI40" s="25"/>
      <c r="AJ40" s="25"/>
      <c r="AK40" s="25"/>
      <c r="AL40" s="22" t="s">
        <v>570</v>
      </c>
      <c r="AM40" s="22" t="s">
        <v>474</v>
      </c>
      <c r="AN40" s="22" t="s">
        <v>476</v>
      </c>
      <c r="AO40" s="22"/>
      <c r="AP40" s="22"/>
      <c r="AQ40" s="22"/>
      <c r="AR40" s="1" t="s">
        <v>152</v>
      </c>
      <c r="AS40" s="1" t="s">
        <v>146</v>
      </c>
      <c r="AT40" s="1" t="s">
        <v>121</v>
      </c>
      <c r="AU40" s="1" t="s">
        <v>1483</v>
      </c>
      <c r="AV40" s="1" t="s">
        <v>139</v>
      </c>
      <c r="AW40" s="1" t="s">
        <v>1484</v>
      </c>
      <c r="AX40" s="1" t="s">
        <v>196</v>
      </c>
      <c r="AY40" s="1" t="s">
        <v>125</v>
      </c>
      <c r="AZ40" s="1" t="s">
        <v>677</v>
      </c>
      <c r="BA40" s="1" t="s">
        <v>225</v>
      </c>
      <c r="BB40" s="1" t="s">
        <v>94</v>
      </c>
      <c r="BC40" s="1" t="s">
        <v>94</v>
      </c>
      <c r="BD40" s="1" t="s">
        <v>94</v>
      </c>
      <c r="BE40" s="1" t="s">
        <v>1485</v>
      </c>
      <c r="BF40" s="1" t="s">
        <v>231</v>
      </c>
      <c r="BG40" s="1" t="s">
        <v>122</v>
      </c>
      <c r="BH40" s="1" t="s">
        <v>1486</v>
      </c>
      <c r="BI40" s="1" t="s">
        <v>237</v>
      </c>
      <c r="BJ40" s="1" t="s">
        <v>218</v>
      </c>
      <c r="BK40" s="1" t="s">
        <v>218</v>
      </c>
      <c r="BL40" s="1" t="s">
        <v>241</v>
      </c>
      <c r="BM40" s="1" t="s">
        <v>1487</v>
      </c>
      <c r="BN40" s="1" t="s">
        <v>1488</v>
      </c>
      <c r="BO40" s="26">
        <f>IF(COUNTIF('MMAT Appraisal'!$A$2:$A$60,A40)=0,"",INDEX('MMAT Appraisal'!$K$2:$K$60,MATCH(A40,'MMAT Appraisal'!$A$2:$A$60,0)))</f>
        <v>1</v>
      </c>
      <c r="BP40" s="1" t="str">
        <f t="shared" si="0"/>
        <v>Low</v>
      </c>
      <c r="BQ40" s="1" t="s">
        <v>1489</v>
      </c>
      <c r="BR40" s="1" t="s">
        <v>257</v>
      </c>
      <c r="BS40" s="1" t="s">
        <v>525</v>
      </c>
      <c r="BT40" s="1" t="s">
        <v>526</v>
      </c>
      <c r="BU40" s="1" t="s">
        <v>494</v>
      </c>
      <c r="BV40" s="1" t="s">
        <v>1490</v>
      </c>
    </row>
    <row r="41" spans="1:74" ht="341.25" customHeight="1" x14ac:dyDescent="0.25">
      <c r="A41" s="22">
        <v>40</v>
      </c>
      <c r="B41" s="22"/>
      <c r="C41" s="22" t="s">
        <v>1491</v>
      </c>
      <c r="D41" s="22" t="s">
        <v>1492</v>
      </c>
      <c r="E41" s="22" t="s">
        <v>1493</v>
      </c>
      <c r="F41" s="22" t="s">
        <v>352</v>
      </c>
      <c r="G41" s="22">
        <v>2021</v>
      </c>
      <c r="H41" s="22" t="s">
        <v>1494</v>
      </c>
      <c r="I41" s="22">
        <v>3</v>
      </c>
      <c r="J41" s="22" t="s">
        <v>1495</v>
      </c>
      <c r="K41" s="23" t="s">
        <v>1496</v>
      </c>
      <c r="L41" s="22" t="s">
        <v>1497</v>
      </c>
      <c r="M41" s="22" t="s">
        <v>1498</v>
      </c>
      <c r="N41" s="22" t="s">
        <v>1499</v>
      </c>
      <c r="O41" s="22"/>
      <c r="P41" s="22" t="s">
        <v>1500</v>
      </c>
      <c r="Q41" s="22" t="s">
        <v>1501</v>
      </c>
      <c r="R41" s="22" t="s">
        <v>467</v>
      </c>
      <c r="S41" s="22" t="s">
        <v>468</v>
      </c>
      <c r="T41" s="22" t="s">
        <v>469</v>
      </c>
      <c r="U41" s="22" t="s">
        <v>564</v>
      </c>
      <c r="V41" s="22" t="s">
        <v>470</v>
      </c>
      <c r="W41" s="22" t="s">
        <v>471</v>
      </c>
      <c r="X41" s="22" t="s">
        <v>472</v>
      </c>
      <c r="Y41" s="22" t="s">
        <v>775</v>
      </c>
      <c r="Z41" s="22" t="s">
        <v>514</v>
      </c>
      <c r="AA41" s="22" t="s">
        <v>513</v>
      </c>
      <c r="AB41" s="22"/>
      <c r="AC41" s="22"/>
      <c r="AD41" s="25" t="s">
        <v>1502</v>
      </c>
      <c r="AE41" s="25" t="s">
        <v>1503</v>
      </c>
      <c r="AF41" s="25" t="s">
        <v>1504</v>
      </c>
      <c r="AG41" s="25" t="s">
        <v>1505</v>
      </c>
      <c r="AH41" s="25" t="s">
        <v>1506</v>
      </c>
      <c r="AI41" s="25"/>
      <c r="AJ41" s="25"/>
      <c r="AK41" s="25"/>
      <c r="AL41" s="22" t="s">
        <v>1507</v>
      </c>
      <c r="AM41" s="22" t="s">
        <v>513</v>
      </c>
      <c r="AN41" s="22" t="s">
        <v>1508</v>
      </c>
      <c r="AO41" s="22"/>
      <c r="AP41" s="22"/>
      <c r="AQ41" s="22"/>
      <c r="AR41" s="1" t="s">
        <v>154</v>
      </c>
      <c r="AS41" s="1" t="s">
        <v>144</v>
      </c>
      <c r="AT41" s="1" t="s">
        <v>177</v>
      </c>
      <c r="AU41" s="1" t="s">
        <v>1509</v>
      </c>
      <c r="AV41" s="1" t="s">
        <v>135</v>
      </c>
      <c r="AW41" s="1" t="s">
        <v>1510</v>
      </c>
      <c r="AX41" s="1" t="s">
        <v>187</v>
      </c>
      <c r="AY41" s="1" t="s">
        <v>125</v>
      </c>
      <c r="AZ41" s="1" t="s">
        <v>1511</v>
      </c>
      <c r="BA41" s="1" t="s">
        <v>223</v>
      </c>
      <c r="BB41" s="1" t="s">
        <v>486</v>
      </c>
      <c r="BC41" s="1" t="s">
        <v>486</v>
      </c>
      <c r="BD41" s="1" t="s">
        <v>486</v>
      </c>
      <c r="BE41" s="1" t="s">
        <v>1512</v>
      </c>
      <c r="BF41" s="1" t="s">
        <v>231</v>
      </c>
      <c r="BG41" s="1" t="s">
        <v>122</v>
      </c>
      <c r="BH41" s="1" t="s">
        <v>1513</v>
      </c>
      <c r="BI41" s="1" t="s">
        <v>234</v>
      </c>
      <c r="BJ41" s="1" t="s">
        <v>489</v>
      </c>
      <c r="BK41" s="1" t="s">
        <v>215</v>
      </c>
      <c r="BL41" s="1" t="s">
        <v>285</v>
      </c>
      <c r="BM41" s="1" t="s">
        <v>1514</v>
      </c>
      <c r="BN41" s="1" t="s">
        <v>1515</v>
      </c>
      <c r="BO41" s="26" t="str">
        <f>IF(COUNTIF('MMAT Appraisal'!$A$2:$A$60,A41)=0,"",INDEX('MMAT Appraisal'!$K$2:$K$60,MATCH(A41,'MMAT Appraisal'!$A$2:$A$60,0)))</f>
        <v/>
      </c>
      <c r="BP41" s="1" t="str">
        <f t="shared" si="0"/>
        <v>Low</v>
      </c>
      <c r="BQ41" s="1" t="s">
        <v>122</v>
      </c>
      <c r="BR41" s="1" t="s">
        <v>122</v>
      </c>
      <c r="BS41" s="1" t="s">
        <v>492</v>
      </c>
      <c r="BT41" s="1" t="s">
        <v>1516</v>
      </c>
      <c r="BU41" s="1" t="s">
        <v>494</v>
      </c>
      <c r="BV41" s="1" t="s">
        <v>1517</v>
      </c>
    </row>
    <row r="42" spans="1:74" ht="341.25" customHeight="1" x14ac:dyDescent="0.25">
      <c r="A42" s="22">
        <v>41</v>
      </c>
      <c r="B42" s="22"/>
      <c r="C42" s="22" t="s">
        <v>1518</v>
      </c>
      <c r="D42" s="22" t="s">
        <v>1519</v>
      </c>
      <c r="E42" s="22" t="s">
        <v>1520</v>
      </c>
      <c r="F42" s="22" t="s">
        <v>354</v>
      </c>
      <c r="G42" s="22">
        <v>2019</v>
      </c>
      <c r="H42" s="22" t="s">
        <v>1152</v>
      </c>
      <c r="I42" s="22">
        <v>14</v>
      </c>
      <c r="J42" s="22" t="s">
        <v>1521</v>
      </c>
      <c r="K42" s="23" t="s">
        <v>1522</v>
      </c>
      <c r="L42" s="22" t="s">
        <v>1523</v>
      </c>
      <c r="M42" s="22" t="s">
        <v>1524</v>
      </c>
      <c r="N42" s="22" t="s">
        <v>1525</v>
      </c>
      <c r="O42" s="22" t="s">
        <v>1526</v>
      </c>
      <c r="P42" s="22" t="s">
        <v>1527</v>
      </c>
      <c r="Q42" s="22" t="s">
        <v>466</v>
      </c>
      <c r="R42" s="22" t="s">
        <v>467</v>
      </c>
      <c r="S42" s="22" t="s">
        <v>468</v>
      </c>
      <c r="T42" s="22" t="s">
        <v>469</v>
      </c>
      <c r="U42" s="22"/>
      <c r="V42" s="22" t="s">
        <v>470</v>
      </c>
      <c r="W42" s="22" t="s">
        <v>471</v>
      </c>
      <c r="X42" s="22" t="s">
        <v>472</v>
      </c>
      <c r="Y42" s="22" t="s">
        <v>775</v>
      </c>
      <c r="Z42" s="22" t="s">
        <v>514</v>
      </c>
      <c r="AA42" s="22" t="s">
        <v>513</v>
      </c>
      <c r="AB42" s="22"/>
      <c r="AC42" s="22"/>
      <c r="AD42" s="25" t="s">
        <v>1528</v>
      </c>
      <c r="AE42" s="25" t="s">
        <v>1529</v>
      </c>
      <c r="AF42" s="25" t="s">
        <v>1530</v>
      </c>
      <c r="AG42" s="25" t="s">
        <v>1531</v>
      </c>
      <c r="AH42" s="25" t="s">
        <v>1532</v>
      </c>
      <c r="AI42" s="25"/>
      <c r="AJ42" s="25"/>
      <c r="AK42" s="25"/>
      <c r="AL42" s="22" t="s">
        <v>1533</v>
      </c>
      <c r="AM42" s="22" t="s">
        <v>475</v>
      </c>
      <c r="AN42" s="22" t="s">
        <v>1069</v>
      </c>
      <c r="AO42" s="22"/>
      <c r="AP42" s="22"/>
      <c r="AQ42" s="22"/>
      <c r="AR42" s="1" t="s">
        <v>152</v>
      </c>
      <c r="AS42" s="1" t="s">
        <v>146</v>
      </c>
      <c r="AT42" s="1" t="s">
        <v>121</v>
      </c>
      <c r="AU42" s="1" t="s">
        <v>1534</v>
      </c>
      <c r="AV42" s="1" t="s">
        <v>138</v>
      </c>
      <c r="AW42" s="1" t="s">
        <v>1535</v>
      </c>
      <c r="AX42" s="1" t="s">
        <v>188</v>
      </c>
      <c r="AY42" s="1" t="s">
        <v>125</v>
      </c>
      <c r="AZ42" s="1" t="s">
        <v>1536</v>
      </c>
      <c r="BA42" s="1" t="s">
        <v>223</v>
      </c>
      <c r="BB42" s="1" t="s">
        <v>486</v>
      </c>
      <c r="BC42" s="1" t="s">
        <v>486</v>
      </c>
      <c r="BD42" s="1" t="s">
        <v>486</v>
      </c>
      <c r="BE42" s="1" t="s">
        <v>1537</v>
      </c>
      <c r="BF42" s="1" t="s">
        <v>232</v>
      </c>
      <c r="BG42" s="1" t="s">
        <v>122</v>
      </c>
      <c r="BH42" s="1" t="s">
        <v>1538</v>
      </c>
      <c r="BI42" s="1" t="s">
        <v>238</v>
      </c>
      <c r="BJ42" s="1" t="s">
        <v>1539</v>
      </c>
      <c r="BK42" s="1" t="s">
        <v>221</v>
      </c>
      <c r="BL42" s="1" t="s">
        <v>285</v>
      </c>
      <c r="BM42" s="1" t="s">
        <v>1540</v>
      </c>
      <c r="BN42" s="1" t="s">
        <v>1541</v>
      </c>
      <c r="BO42" s="26" t="str">
        <f>IF(COUNTIF('MMAT Appraisal'!$A$2:$A$60,A42)=0,"",INDEX('MMAT Appraisal'!$K$2:$K$60,MATCH(A42,'MMAT Appraisal'!$A$2:$A$60,0)))</f>
        <v/>
      </c>
      <c r="BP42" s="1" t="str">
        <f t="shared" si="0"/>
        <v>Low</v>
      </c>
      <c r="BQ42" s="1" t="s">
        <v>122</v>
      </c>
      <c r="BR42" s="1" t="s">
        <v>122</v>
      </c>
      <c r="BS42" s="1" t="s">
        <v>492</v>
      </c>
      <c r="BT42" s="1" t="s">
        <v>1542</v>
      </c>
      <c r="BU42" s="1" t="s">
        <v>494</v>
      </c>
      <c r="BV42" s="1" t="s">
        <v>1543</v>
      </c>
    </row>
    <row r="43" spans="1:74" ht="341.25" customHeight="1" x14ac:dyDescent="0.25">
      <c r="A43" s="22">
        <v>42</v>
      </c>
      <c r="B43" s="22"/>
      <c r="C43" s="22" t="s">
        <v>1544</v>
      </c>
      <c r="D43" s="22" t="s">
        <v>1545</v>
      </c>
      <c r="E43" s="22" t="s">
        <v>1546</v>
      </c>
      <c r="F43" s="22" t="s">
        <v>356</v>
      </c>
      <c r="G43" s="22">
        <v>2019</v>
      </c>
      <c r="H43" s="22" t="s">
        <v>1547</v>
      </c>
      <c r="I43" s="22">
        <v>0</v>
      </c>
      <c r="J43" s="22" t="s">
        <v>1548</v>
      </c>
      <c r="K43" s="23" t="s">
        <v>1549</v>
      </c>
      <c r="L43" s="22" t="s">
        <v>1550</v>
      </c>
      <c r="M43" s="22" t="s">
        <v>1551</v>
      </c>
      <c r="N43" s="22" t="s">
        <v>1552</v>
      </c>
      <c r="O43" s="22" t="s">
        <v>1553</v>
      </c>
      <c r="P43" s="22" t="s">
        <v>1554</v>
      </c>
      <c r="Q43" s="22" t="s">
        <v>466</v>
      </c>
      <c r="R43" s="22" t="s">
        <v>467</v>
      </c>
      <c r="S43" s="22" t="s">
        <v>468</v>
      </c>
      <c r="T43" s="22" t="s">
        <v>469</v>
      </c>
      <c r="U43" s="22"/>
      <c r="V43" s="22" t="s">
        <v>470</v>
      </c>
      <c r="W43" s="22" t="s">
        <v>471</v>
      </c>
      <c r="X43" s="22" t="s">
        <v>472</v>
      </c>
      <c r="Y43" s="22" t="s">
        <v>775</v>
      </c>
      <c r="Z43" s="22" t="s">
        <v>514</v>
      </c>
      <c r="AA43" s="22" t="s">
        <v>474</v>
      </c>
      <c r="AB43" s="22"/>
      <c r="AC43" s="22" t="s">
        <v>1266</v>
      </c>
      <c r="AD43" s="25" t="s">
        <v>1555</v>
      </c>
      <c r="AE43" s="25" t="s">
        <v>1556</v>
      </c>
      <c r="AF43" s="25" t="s">
        <v>1557</v>
      </c>
      <c r="AG43" s="25" t="s">
        <v>1558</v>
      </c>
      <c r="AH43" s="25" t="s">
        <v>1559</v>
      </c>
      <c r="AI43" s="25"/>
      <c r="AJ43" s="25"/>
      <c r="AK43" s="25"/>
      <c r="AL43" s="22" t="s">
        <v>1560</v>
      </c>
      <c r="AM43" s="22" t="s">
        <v>514</v>
      </c>
      <c r="AN43" s="22" t="s">
        <v>476</v>
      </c>
      <c r="AO43" s="22"/>
      <c r="AP43" s="22"/>
      <c r="AQ43" s="22"/>
      <c r="AR43" s="1" t="s">
        <v>163</v>
      </c>
      <c r="AS43" s="1" t="s">
        <v>147</v>
      </c>
      <c r="AT43" s="1" t="s">
        <v>179</v>
      </c>
      <c r="AU43" s="1" t="s">
        <v>1561</v>
      </c>
      <c r="AV43" s="1" t="s">
        <v>132</v>
      </c>
      <c r="AW43" s="1" t="s">
        <v>1562</v>
      </c>
      <c r="AX43" s="1" t="s">
        <v>188</v>
      </c>
      <c r="AY43" s="1" t="s">
        <v>126</v>
      </c>
      <c r="AZ43" s="1" t="s">
        <v>1218</v>
      </c>
      <c r="BA43" s="1" t="s">
        <v>223</v>
      </c>
      <c r="BB43" s="1" t="s">
        <v>486</v>
      </c>
      <c r="BC43" s="1" t="s">
        <v>94</v>
      </c>
      <c r="BD43" s="1" t="s">
        <v>94</v>
      </c>
      <c r="BE43" s="1" t="s">
        <v>1563</v>
      </c>
      <c r="BF43" s="1" t="s">
        <v>231</v>
      </c>
      <c r="BG43" s="1" t="s">
        <v>122</v>
      </c>
      <c r="BH43" s="1" t="s">
        <v>1564</v>
      </c>
      <c r="BI43" s="1" t="s">
        <v>235</v>
      </c>
      <c r="BJ43" s="1" t="s">
        <v>489</v>
      </c>
      <c r="BK43" s="1" t="s">
        <v>215</v>
      </c>
      <c r="BL43" s="1" t="s">
        <v>240</v>
      </c>
      <c r="BM43" s="1" t="s">
        <v>1565</v>
      </c>
      <c r="BN43" s="1" t="s">
        <v>1566</v>
      </c>
      <c r="BO43" s="26">
        <f>IF(COUNTIF('MMAT Appraisal'!$A$2:$A$60,A43)=0,"",INDEX('MMAT Appraisal'!$K$2:$K$60,MATCH(A43,'MMAT Appraisal'!$A$2:$A$60,0)))</f>
        <v>2</v>
      </c>
      <c r="BP43" s="1" t="str">
        <f t="shared" si="0"/>
        <v>Low</v>
      </c>
      <c r="BQ43" s="1" t="s">
        <v>122</v>
      </c>
      <c r="BR43" s="1" t="s">
        <v>122</v>
      </c>
      <c r="BS43" s="1" t="s">
        <v>733</v>
      </c>
      <c r="BT43" s="1" t="s">
        <v>1567</v>
      </c>
      <c r="BU43" s="1" t="s">
        <v>494</v>
      </c>
      <c r="BV43" s="1" t="s">
        <v>1568</v>
      </c>
    </row>
    <row r="44" spans="1:74" ht="341.25" customHeight="1" x14ac:dyDescent="0.25">
      <c r="A44" s="22">
        <v>43</v>
      </c>
      <c r="B44" s="22"/>
      <c r="C44" s="22" t="s">
        <v>1569</v>
      </c>
      <c r="D44" s="22" t="s">
        <v>1570</v>
      </c>
      <c r="E44" s="22" t="s">
        <v>1571</v>
      </c>
      <c r="F44" s="22" t="s">
        <v>358</v>
      </c>
      <c r="G44" s="22">
        <v>2017</v>
      </c>
      <c r="H44" s="22" t="s">
        <v>1572</v>
      </c>
      <c r="I44" s="22">
        <v>2</v>
      </c>
      <c r="J44" s="22" t="s">
        <v>1573</v>
      </c>
      <c r="K44" s="23" t="s">
        <v>1574</v>
      </c>
      <c r="L44" s="22" t="s">
        <v>1575</v>
      </c>
      <c r="M44" s="22" t="s">
        <v>1576</v>
      </c>
      <c r="N44" s="22" t="s">
        <v>1577</v>
      </c>
      <c r="O44" s="22" t="s">
        <v>1578</v>
      </c>
      <c r="P44" s="22"/>
      <c r="Q44" s="22" t="s">
        <v>1579</v>
      </c>
      <c r="R44" s="22" t="s">
        <v>467</v>
      </c>
      <c r="S44" s="22" t="s">
        <v>506</v>
      </c>
      <c r="T44" s="22" t="s">
        <v>469</v>
      </c>
      <c r="U44" s="22"/>
      <c r="V44" s="22" t="s">
        <v>470</v>
      </c>
      <c r="W44" s="22" t="s">
        <v>471</v>
      </c>
      <c r="X44" s="22" t="s">
        <v>472</v>
      </c>
      <c r="Y44" s="22" t="s">
        <v>775</v>
      </c>
      <c r="Z44" s="22" t="s">
        <v>514</v>
      </c>
      <c r="AA44" s="22" t="s">
        <v>474</v>
      </c>
      <c r="AB44" s="22"/>
      <c r="AC44" s="22" t="s">
        <v>1266</v>
      </c>
      <c r="AD44" s="25" t="s">
        <v>1580</v>
      </c>
      <c r="AE44" s="25" t="s">
        <v>1581</v>
      </c>
      <c r="AF44" s="25" t="s">
        <v>1582</v>
      </c>
      <c r="AG44" s="25" t="s">
        <v>1583</v>
      </c>
      <c r="AH44" s="25" t="s">
        <v>1584</v>
      </c>
      <c r="AI44" s="25"/>
      <c r="AJ44" s="25"/>
      <c r="AK44" s="25"/>
      <c r="AL44" s="22" t="s">
        <v>1585</v>
      </c>
      <c r="AM44" s="22" t="s">
        <v>513</v>
      </c>
      <c r="AN44" s="22"/>
      <c r="AO44" s="22"/>
      <c r="AP44" s="28"/>
      <c r="AQ44" s="28"/>
      <c r="AR44" s="1" t="s">
        <v>155</v>
      </c>
      <c r="AS44" s="1" t="s">
        <v>144</v>
      </c>
      <c r="AT44" s="1" t="s">
        <v>117</v>
      </c>
      <c r="AU44" s="1" t="s">
        <v>1586</v>
      </c>
      <c r="AV44" s="1" t="s">
        <v>134</v>
      </c>
      <c r="AW44" s="1" t="s">
        <v>1587</v>
      </c>
      <c r="AX44" s="1" t="s">
        <v>190</v>
      </c>
      <c r="AY44" s="1" t="s">
        <v>127</v>
      </c>
      <c r="AZ44" s="1" t="s">
        <v>1588</v>
      </c>
      <c r="BA44" s="1" t="s">
        <v>223</v>
      </c>
      <c r="BB44" s="1" t="s">
        <v>486</v>
      </c>
      <c r="BC44" s="1" t="s">
        <v>486</v>
      </c>
      <c r="BD44" s="1" t="s">
        <v>94</v>
      </c>
      <c r="BE44" s="1" t="s">
        <v>1589</v>
      </c>
      <c r="BF44" s="1" t="s">
        <v>231</v>
      </c>
      <c r="BG44" s="1" t="s">
        <v>122</v>
      </c>
      <c r="BH44" s="1" t="s">
        <v>1590</v>
      </c>
      <c r="BI44" s="1" t="s">
        <v>234</v>
      </c>
      <c r="BJ44" s="1" t="s">
        <v>489</v>
      </c>
      <c r="BK44" s="1" t="s">
        <v>215</v>
      </c>
      <c r="BL44" s="1" t="s">
        <v>240</v>
      </c>
      <c r="BM44" s="1" t="s">
        <v>1591</v>
      </c>
      <c r="BN44" s="1" t="s">
        <v>1592</v>
      </c>
      <c r="BO44" s="26">
        <f>IF(COUNTIF('MMAT Appraisal'!$A$2:$A$60,A44)=0,"",INDEX('MMAT Appraisal'!$K$2:$K$60,MATCH(A44,'MMAT Appraisal'!$A$2:$A$60,0)))</f>
        <v>2</v>
      </c>
      <c r="BP44" s="1" t="str">
        <f t="shared" si="0"/>
        <v>Low</v>
      </c>
      <c r="BQ44" s="1" t="s">
        <v>122</v>
      </c>
      <c r="BR44" s="1" t="s">
        <v>122</v>
      </c>
      <c r="BS44" s="1" t="s">
        <v>525</v>
      </c>
      <c r="BT44" s="1" t="s">
        <v>526</v>
      </c>
      <c r="BU44" s="1" t="s">
        <v>494</v>
      </c>
      <c r="BV44" s="1" t="s">
        <v>1593</v>
      </c>
    </row>
    <row r="45" spans="1:74" ht="341.25" customHeight="1" x14ac:dyDescent="0.25">
      <c r="A45" s="22">
        <v>44</v>
      </c>
      <c r="B45" s="22"/>
      <c r="C45" s="22" t="s">
        <v>1594</v>
      </c>
      <c r="D45" s="22" t="s">
        <v>1595</v>
      </c>
      <c r="E45" s="22" t="s">
        <v>1596</v>
      </c>
      <c r="F45" s="22" t="s">
        <v>360</v>
      </c>
      <c r="G45" s="22">
        <v>2017</v>
      </c>
      <c r="H45" s="22" t="s">
        <v>661</v>
      </c>
      <c r="I45" s="22">
        <v>1</v>
      </c>
      <c r="J45" s="22" t="s">
        <v>1597</v>
      </c>
      <c r="K45" s="23" t="s">
        <v>1598</v>
      </c>
      <c r="L45" s="22" t="s">
        <v>1599</v>
      </c>
      <c r="M45" s="22" t="s">
        <v>1600</v>
      </c>
      <c r="N45" s="22" t="s">
        <v>1601</v>
      </c>
      <c r="O45" s="22" t="s">
        <v>1602</v>
      </c>
      <c r="P45" s="22" t="s">
        <v>1603</v>
      </c>
      <c r="Q45" s="22" t="s">
        <v>746</v>
      </c>
      <c r="R45" s="22" t="s">
        <v>467</v>
      </c>
      <c r="S45" s="22" t="s">
        <v>468</v>
      </c>
      <c r="T45" s="22" t="s">
        <v>469</v>
      </c>
      <c r="U45" s="22"/>
      <c r="V45" s="22" t="s">
        <v>470</v>
      </c>
      <c r="W45" s="22" t="s">
        <v>471</v>
      </c>
      <c r="X45" s="22" t="s">
        <v>472</v>
      </c>
      <c r="Y45" s="22" t="s">
        <v>775</v>
      </c>
      <c r="Z45" s="22" t="s">
        <v>514</v>
      </c>
      <c r="AA45" s="22" t="s">
        <v>474</v>
      </c>
      <c r="AB45" s="22"/>
      <c r="AC45" s="22" t="s">
        <v>1266</v>
      </c>
      <c r="AD45" s="25" t="s">
        <v>1604</v>
      </c>
      <c r="AE45" s="25" t="s">
        <v>1605</v>
      </c>
      <c r="AF45" s="25" t="s">
        <v>1606</v>
      </c>
      <c r="AG45" s="25" t="s">
        <v>1607</v>
      </c>
      <c r="AH45" s="25" t="s">
        <v>1608</v>
      </c>
      <c r="AI45" s="25"/>
      <c r="AJ45" s="25"/>
      <c r="AK45" s="25"/>
      <c r="AL45" s="22" t="s">
        <v>1431</v>
      </c>
      <c r="AM45" s="22" t="s">
        <v>475</v>
      </c>
      <c r="AN45" s="22" t="s">
        <v>1069</v>
      </c>
      <c r="AO45" s="22"/>
      <c r="AP45" s="22"/>
      <c r="AQ45" s="22"/>
      <c r="AR45" s="1" t="s">
        <v>167</v>
      </c>
      <c r="AS45" s="1" t="s">
        <v>145</v>
      </c>
      <c r="AT45" s="1" t="s">
        <v>116</v>
      </c>
      <c r="AU45" s="1" t="s">
        <v>1609</v>
      </c>
      <c r="AV45" s="1" t="s">
        <v>138</v>
      </c>
      <c r="AW45" s="1" t="s">
        <v>1610</v>
      </c>
      <c r="AX45" s="1" t="s">
        <v>194</v>
      </c>
      <c r="AY45" s="1" t="s">
        <v>185</v>
      </c>
      <c r="AZ45" s="1" t="s">
        <v>1611</v>
      </c>
      <c r="BA45" s="1" t="s">
        <v>223</v>
      </c>
      <c r="BB45" s="1" t="s">
        <v>486</v>
      </c>
      <c r="BC45" s="1" t="s">
        <v>486</v>
      </c>
      <c r="BD45" s="1" t="s">
        <v>486</v>
      </c>
      <c r="BE45" s="1" t="s">
        <v>1612</v>
      </c>
      <c r="BF45" s="1" t="s">
        <v>232</v>
      </c>
      <c r="BG45" s="1" t="s">
        <v>122</v>
      </c>
      <c r="BH45" s="1" t="s">
        <v>1613</v>
      </c>
      <c r="BI45" s="1" t="s">
        <v>237</v>
      </c>
      <c r="BJ45" s="1" t="s">
        <v>1614</v>
      </c>
      <c r="BK45" s="1" t="s">
        <v>628</v>
      </c>
      <c r="BL45" s="1" t="s">
        <v>285</v>
      </c>
      <c r="BM45" s="1" t="s">
        <v>1615</v>
      </c>
      <c r="BN45" s="1" t="s">
        <v>1616</v>
      </c>
      <c r="BO45" s="26" t="str">
        <f>IF(COUNTIF('MMAT Appraisal'!$A$2:$A$60,A45)=0,"",INDEX('MMAT Appraisal'!$K$2:$K$60,MATCH(A45,'MMAT Appraisal'!$A$2:$A$60,0)))</f>
        <v/>
      </c>
      <c r="BP45" s="1" t="str">
        <f t="shared" si="0"/>
        <v>Low</v>
      </c>
      <c r="BQ45" s="1" t="s">
        <v>122</v>
      </c>
      <c r="BR45" s="1" t="s">
        <v>122</v>
      </c>
      <c r="BS45" s="1" t="s">
        <v>492</v>
      </c>
      <c r="BT45" s="1" t="s">
        <v>1617</v>
      </c>
      <c r="BU45" s="1" t="s">
        <v>494</v>
      </c>
      <c r="BV45" s="1" t="s">
        <v>1618</v>
      </c>
    </row>
    <row r="46" spans="1:74" ht="341.25" customHeight="1" x14ac:dyDescent="0.25">
      <c r="A46" s="22">
        <v>45</v>
      </c>
      <c r="B46" s="22"/>
      <c r="C46" s="22" t="s">
        <v>1619</v>
      </c>
      <c r="D46" s="22" t="s">
        <v>1620</v>
      </c>
      <c r="E46" s="22" t="s">
        <v>1621</v>
      </c>
      <c r="F46" s="22" t="s">
        <v>362</v>
      </c>
      <c r="G46" s="22">
        <v>2015</v>
      </c>
      <c r="H46" s="22" t="s">
        <v>1622</v>
      </c>
      <c r="I46" s="22">
        <v>29</v>
      </c>
      <c r="J46" s="22" t="s">
        <v>1623</v>
      </c>
      <c r="K46" s="23" t="s">
        <v>1624</v>
      </c>
      <c r="L46" s="22" t="s">
        <v>1625</v>
      </c>
      <c r="M46" s="22" t="s">
        <v>1626</v>
      </c>
      <c r="N46" s="22" t="s">
        <v>1627</v>
      </c>
      <c r="O46" s="22" t="s">
        <v>1628</v>
      </c>
      <c r="P46" s="22" t="s">
        <v>1629</v>
      </c>
      <c r="Q46" s="22" t="s">
        <v>1630</v>
      </c>
      <c r="R46" s="22" t="s">
        <v>467</v>
      </c>
      <c r="S46" s="22" t="s">
        <v>506</v>
      </c>
      <c r="T46" s="22" t="s">
        <v>469</v>
      </c>
      <c r="U46" s="22" t="s">
        <v>1631</v>
      </c>
      <c r="V46" s="22" t="s">
        <v>470</v>
      </c>
      <c r="W46" s="22" t="s">
        <v>471</v>
      </c>
      <c r="X46" s="22" t="s">
        <v>472</v>
      </c>
      <c r="Y46" s="22" t="s">
        <v>775</v>
      </c>
      <c r="Z46" s="22" t="s">
        <v>514</v>
      </c>
      <c r="AA46" s="22" t="s">
        <v>474</v>
      </c>
      <c r="AB46" s="22"/>
      <c r="AC46" s="22" t="s">
        <v>1266</v>
      </c>
      <c r="AD46" s="25" t="s">
        <v>1632</v>
      </c>
      <c r="AE46" s="25" t="s">
        <v>1633</v>
      </c>
      <c r="AF46" s="25" t="s">
        <v>1634</v>
      </c>
      <c r="AG46" s="25" t="s">
        <v>1635</v>
      </c>
      <c r="AH46" s="25" t="s">
        <v>1636</v>
      </c>
      <c r="AI46" s="25"/>
      <c r="AJ46" s="25"/>
      <c r="AK46" s="25"/>
      <c r="AL46" s="22" t="s">
        <v>512</v>
      </c>
      <c r="AM46" s="22" t="s">
        <v>513</v>
      </c>
      <c r="AN46" s="22" t="s">
        <v>1637</v>
      </c>
      <c r="AO46" s="22"/>
      <c r="AP46" s="22"/>
      <c r="AQ46" s="22"/>
      <c r="AR46" s="1" t="s">
        <v>171</v>
      </c>
      <c r="AS46" s="1" t="s">
        <v>145</v>
      </c>
      <c r="AT46" s="1" t="s">
        <v>118</v>
      </c>
      <c r="AU46" s="1" t="s">
        <v>1638</v>
      </c>
      <c r="AV46" s="1" t="s">
        <v>135</v>
      </c>
      <c r="AW46" s="1" t="s">
        <v>1639</v>
      </c>
      <c r="AX46" s="1" t="s">
        <v>189</v>
      </c>
      <c r="AY46" s="1" t="s">
        <v>127</v>
      </c>
      <c r="AZ46" s="1" t="s">
        <v>1640</v>
      </c>
      <c r="BA46" s="1" t="s">
        <v>224</v>
      </c>
      <c r="BB46" s="1" t="s">
        <v>95</v>
      </c>
      <c r="BC46" s="1" t="s">
        <v>94</v>
      </c>
      <c r="BD46" s="1" t="s">
        <v>94</v>
      </c>
      <c r="BE46" s="1" t="s">
        <v>1641</v>
      </c>
      <c r="BF46" s="1" t="s">
        <v>231</v>
      </c>
      <c r="BG46" s="1" t="s">
        <v>122</v>
      </c>
      <c r="BH46" s="1" t="s">
        <v>1642</v>
      </c>
      <c r="BI46" s="1" t="s">
        <v>237</v>
      </c>
      <c r="BJ46" s="1" t="s">
        <v>1049</v>
      </c>
      <c r="BK46" s="1" t="s">
        <v>219</v>
      </c>
      <c r="BL46" s="1" t="s">
        <v>241</v>
      </c>
      <c r="BM46" s="1" t="s">
        <v>1643</v>
      </c>
      <c r="BN46" s="1" t="s">
        <v>1644</v>
      </c>
      <c r="BO46" s="26">
        <f>IF(COUNTIF('MMAT Appraisal'!$A$2:$A$60,A46)=0,"",INDEX('MMAT Appraisal'!$K$2:$K$60,MATCH(A46,'MMAT Appraisal'!$A$2:$A$60,0)))</f>
        <v>0</v>
      </c>
      <c r="BP46" s="1" t="str">
        <f t="shared" si="0"/>
        <v>Low</v>
      </c>
      <c r="BQ46" s="1" t="s">
        <v>1645</v>
      </c>
      <c r="BR46" s="1" t="s">
        <v>258</v>
      </c>
      <c r="BS46" s="1" t="s">
        <v>525</v>
      </c>
      <c r="BT46" s="1" t="s">
        <v>526</v>
      </c>
      <c r="BU46" s="1" t="s">
        <v>494</v>
      </c>
      <c r="BV46" s="1" t="s">
        <v>1646</v>
      </c>
    </row>
  </sheetData>
  <autoFilter ref="A1:BV46" xr:uid="{00000000-0009-0000-0000-000004000000}"/>
  <dataValidations count="9">
    <dataValidation type="list" allowBlank="1" sqref="BB2:BD200" xr:uid="{00000000-0002-0000-0400-000000000000}">
      <formula1>"+,0,−,Mixed,Unclear,Not measured"</formula1>
      <formula2>0</formula2>
    </dataValidation>
    <dataValidation type="list" allowBlank="1" sqref="BF2:BF200" xr:uid="{00000000-0002-0000-0400-000003000000}">
      <formula1>"Inferential with effect size,Inferential,no effect size,Descriptive only,Qualitative only,No empirical data"</formula1>
      <formula2>0</formula2>
    </dataValidation>
    <dataValidation type="list" allowBlank="1" sqref="BI2:BI200" xr:uid="{00000000-0002-0000-0400-000004000000}">
      <formula1>"Yes,Adapted,Partly,No,N/A"</formula1>
      <formula2>0</formula2>
    </dataValidation>
    <dataValidation type="list" allowBlank="1" sqref="BS2:BS200" xr:uid="{00000000-0002-0000-0400-000005000000}">
      <formula1>"Core,Sensitivity,Excluded"</formula1>
      <formula2>0</formula2>
    </dataValidation>
    <dataValidation type="list" allowBlank="1" sqref="BU2:BU200" xr:uid="{00000000-0002-0000-0400-000006000000}">
      <formula1>"Pre-filled – verify with full text,Verified (full text)"</formula1>
      <formula2>0</formula2>
    </dataValidation>
    <dataValidation type="list" allowBlank="1" sqref="AY2:AY200" xr:uid="{00000000-0002-0000-0400-000007000000}">
      <formula1>"HMD (immersive),Handheld (mobile/tablet),Desktop,CAVE / projection,Web-based,None (mock-up),Not reported"</formula1>
      <formula2>0</formula2>
    </dataValidation>
    <dataValidation type="list" allowBlank="1" sqref="BA2:BA200" xr:uid="{00000000-0002-0000-0400-000008000000}">
      <formula1>"None,Traditional teaching,Non-immersive digital,Other XR,Traditional + non-immersive"</formula1>
      <formula2>0</formula2>
    </dataValidation>
    <dataValidation type="list" allowBlank="1" sqref="BL2:BL200" xr:uid="{00000000-0002-0000-0400-000009000000}">
      <formula1>"Qualitative,Quantitative RCT,Quantitative non-randomised,Quantitative descriptive,Mixed methods,Not appraisable (no empirical learner study)"</formula1>
      <formula2>0</formula2>
    </dataValidation>
    <dataValidation type="whole" allowBlank="1" sqref="BO2:BO200" xr:uid="{00000000-0002-0000-0400-00000A000000}">
      <formula1>0</formula1>
      <formula2>5</formula2>
    </dataValidation>
  </dataValidations>
  <hyperlinks>
    <hyperlink ref="K2" r:id="rId1" xr:uid="{00000000-0004-0000-0400-000000000000}"/>
    <hyperlink ref="K3" r:id="rId2" xr:uid="{00000000-0004-0000-0400-000001000000}"/>
    <hyperlink ref="K4" r:id="rId3" xr:uid="{00000000-0004-0000-0400-000002000000}"/>
    <hyperlink ref="K5" r:id="rId4" xr:uid="{00000000-0004-0000-0400-000003000000}"/>
    <hyperlink ref="K6" r:id="rId5" xr:uid="{00000000-0004-0000-0400-000004000000}"/>
    <hyperlink ref="K7" r:id="rId6" xr:uid="{00000000-0004-0000-0400-000005000000}"/>
    <hyperlink ref="K8" r:id="rId7" xr:uid="{00000000-0004-0000-0400-000006000000}"/>
    <hyperlink ref="K9" r:id="rId8" xr:uid="{00000000-0004-0000-0400-000007000000}"/>
    <hyperlink ref="K10" r:id="rId9" xr:uid="{00000000-0004-0000-0400-000008000000}"/>
    <hyperlink ref="K11" r:id="rId10" xr:uid="{00000000-0004-0000-0400-000009000000}"/>
    <hyperlink ref="K12" r:id="rId11" xr:uid="{00000000-0004-0000-0400-00000A000000}"/>
    <hyperlink ref="K13" r:id="rId12" xr:uid="{00000000-0004-0000-0400-00000B000000}"/>
    <hyperlink ref="K14" r:id="rId13" xr:uid="{00000000-0004-0000-0400-00000C000000}"/>
    <hyperlink ref="K15" r:id="rId14" xr:uid="{00000000-0004-0000-0400-00000D000000}"/>
    <hyperlink ref="K16" r:id="rId15" xr:uid="{00000000-0004-0000-0400-00000E000000}"/>
    <hyperlink ref="K17" r:id="rId16" xr:uid="{00000000-0004-0000-0400-00000F000000}"/>
    <hyperlink ref="K18" r:id="rId17" xr:uid="{00000000-0004-0000-0400-000010000000}"/>
    <hyperlink ref="K19" r:id="rId18" xr:uid="{00000000-0004-0000-0400-000011000000}"/>
    <hyperlink ref="K20" r:id="rId19" xr:uid="{00000000-0004-0000-0400-000012000000}"/>
    <hyperlink ref="K21" r:id="rId20" xr:uid="{00000000-0004-0000-0400-000013000000}"/>
    <hyperlink ref="K22" r:id="rId21" xr:uid="{00000000-0004-0000-0400-000014000000}"/>
    <hyperlink ref="K23" r:id="rId22" xr:uid="{00000000-0004-0000-0400-000015000000}"/>
    <hyperlink ref="K24" r:id="rId23" xr:uid="{00000000-0004-0000-0400-000016000000}"/>
    <hyperlink ref="K25" r:id="rId24" xr:uid="{00000000-0004-0000-0400-000017000000}"/>
    <hyperlink ref="K26" r:id="rId25" xr:uid="{00000000-0004-0000-0400-000018000000}"/>
    <hyperlink ref="K27" r:id="rId26" xr:uid="{00000000-0004-0000-0400-000019000000}"/>
    <hyperlink ref="K28" r:id="rId27" xr:uid="{00000000-0004-0000-0400-00001A000000}"/>
    <hyperlink ref="K29" r:id="rId28" xr:uid="{00000000-0004-0000-0400-00001B000000}"/>
    <hyperlink ref="K30" r:id="rId29" xr:uid="{00000000-0004-0000-0400-00001C000000}"/>
    <hyperlink ref="K31" r:id="rId30" xr:uid="{00000000-0004-0000-0400-00001D000000}"/>
    <hyperlink ref="K32" r:id="rId31" xr:uid="{00000000-0004-0000-0400-00001E000000}"/>
    <hyperlink ref="K33" r:id="rId32" xr:uid="{00000000-0004-0000-0400-00001F000000}"/>
    <hyperlink ref="K34" r:id="rId33" xr:uid="{00000000-0004-0000-0400-000020000000}"/>
    <hyperlink ref="K35" r:id="rId34" xr:uid="{00000000-0004-0000-0400-000021000000}"/>
    <hyperlink ref="K36" r:id="rId35" xr:uid="{00000000-0004-0000-0400-000022000000}"/>
    <hyperlink ref="K37" r:id="rId36" xr:uid="{00000000-0004-0000-0400-000023000000}"/>
    <hyperlink ref="K38" r:id="rId37" xr:uid="{00000000-0004-0000-0400-000024000000}"/>
    <hyperlink ref="K39" r:id="rId38" xr:uid="{00000000-0004-0000-0400-000025000000}"/>
    <hyperlink ref="K40" r:id="rId39" xr:uid="{00000000-0004-0000-0400-000026000000}"/>
    <hyperlink ref="K41" r:id="rId40" xr:uid="{00000000-0004-0000-0400-000027000000}"/>
    <hyperlink ref="K42" r:id="rId41" xr:uid="{00000000-0004-0000-0400-000028000000}"/>
    <hyperlink ref="K43" r:id="rId42" xr:uid="{00000000-0004-0000-0400-000029000000}"/>
    <hyperlink ref="K44" r:id="rId43" xr:uid="{00000000-0004-0000-0400-00002A000000}"/>
    <hyperlink ref="K45" r:id="rId44" xr:uid="{00000000-0004-0000-0400-00002B000000}"/>
    <hyperlink ref="K46" r:id="rId45" xr:uid="{00000000-0004-0000-0400-00002C000000}"/>
  </hyperlinks>
  <pageMargins left="0.7" right="0.7" top="0.75" bottom="0.75" header="0.511811023622047" footer="0.511811023622047"/>
  <pageSetup paperSize="9" orientation="portrait" horizontalDpi="300" verticalDpi="300"/>
  <legacyDrawing r:id="rId4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46"/>
  <sheetViews>
    <sheetView zoomScaleNormal="100" workbookViewId="0">
      <selection activeCell="M2" sqref="M2"/>
    </sheetView>
  </sheetViews>
  <sheetFormatPr defaultColWidth="8.7109375" defaultRowHeight="15" x14ac:dyDescent="0.25"/>
  <sheetData>
    <row r="1" spans="1:12" x14ac:dyDescent="0.25">
      <c r="A1" t="s">
        <v>261</v>
      </c>
      <c r="B1" t="s">
        <v>262</v>
      </c>
      <c r="C1" t="s">
        <v>1647</v>
      </c>
      <c r="D1" t="s">
        <v>1648</v>
      </c>
      <c r="E1" t="s">
        <v>1649</v>
      </c>
      <c r="F1" t="s">
        <v>1650</v>
      </c>
      <c r="G1" t="s">
        <v>1651</v>
      </c>
      <c r="H1" t="s">
        <v>1652</v>
      </c>
      <c r="I1" t="s">
        <v>1653</v>
      </c>
      <c r="J1" t="s">
        <v>1654</v>
      </c>
      <c r="K1" t="s">
        <v>1655</v>
      </c>
      <c r="L1" t="s">
        <v>1656</v>
      </c>
    </row>
    <row r="2" spans="1:12" x14ac:dyDescent="0.25">
      <c r="A2">
        <v>1</v>
      </c>
      <c r="B2" t="s">
        <v>273</v>
      </c>
      <c r="C2">
        <v>2</v>
      </c>
      <c r="D2" t="s">
        <v>155</v>
      </c>
      <c r="E2" t="s">
        <v>1657</v>
      </c>
      <c r="F2" t="s">
        <v>1658</v>
      </c>
      <c r="G2" t="s">
        <v>1659</v>
      </c>
      <c r="H2" t="s">
        <v>1660</v>
      </c>
      <c r="I2" t="s">
        <v>1661</v>
      </c>
      <c r="J2" t="s">
        <v>1662</v>
      </c>
      <c r="K2" t="s">
        <v>122</v>
      </c>
      <c r="L2" t="s">
        <v>1663</v>
      </c>
    </row>
    <row r="3" spans="1:12" x14ac:dyDescent="0.25">
      <c r="A3">
        <v>2</v>
      </c>
      <c r="B3" t="s">
        <v>276</v>
      </c>
      <c r="C3">
        <v>3</v>
      </c>
      <c r="D3" t="s">
        <v>159</v>
      </c>
      <c r="E3" t="s">
        <v>1664</v>
      </c>
      <c r="F3" t="s">
        <v>1665</v>
      </c>
      <c r="G3" t="s">
        <v>1666</v>
      </c>
      <c r="H3" t="s">
        <v>1667</v>
      </c>
      <c r="I3" t="s">
        <v>1668</v>
      </c>
      <c r="J3" t="s">
        <v>1669</v>
      </c>
      <c r="K3" t="s">
        <v>122</v>
      </c>
      <c r="L3" t="s">
        <v>1663</v>
      </c>
    </row>
    <row r="4" spans="1:12" x14ac:dyDescent="0.25">
      <c r="A4">
        <v>3</v>
      </c>
      <c r="B4" t="s">
        <v>278</v>
      </c>
      <c r="C4">
        <v>4</v>
      </c>
      <c r="D4" t="s">
        <v>156</v>
      </c>
      <c r="E4" t="s">
        <v>1670</v>
      </c>
      <c r="F4" t="s">
        <v>1671</v>
      </c>
      <c r="G4" t="s">
        <v>1672</v>
      </c>
      <c r="H4" t="s">
        <v>1673</v>
      </c>
      <c r="I4" t="s">
        <v>1674</v>
      </c>
      <c r="J4" t="s">
        <v>1675</v>
      </c>
      <c r="K4" t="s">
        <v>122</v>
      </c>
      <c r="L4" t="s">
        <v>1663</v>
      </c>
    </row>
    <row r="5" spans="1:12" x14ac:dyDescent="0.25">
      <c r="A5">
        <v>4</v>
      </c>
      <c r="B5" t="s">
        <v>280</v>
      </c>
      <c r="C5">
        <v>5</v>
      </c>
      <c r="D5" t="s">
        <v>1676</v>
      </c>
      <c r="E5" t="s">
        <v>1677</v>
      </c>
      <c r="F5" t="s">
        <v>1678</v>
      </c>
      <c r="G5" t="s">
        <v>1672</v>
      </c>
      <c r="H5" t="s">
        <v>1679</v>
      </c>
      <c r="I5" t="s">
        <v>1680</v>
      </c>
      <c r="J5" t="s">
        <v>1681</v>
      </c>
      <c r="K5" t="s">
        <v>122</v>
      </c>
      <c r="L5" t="s">
        <v>1663</v>
      </c>
    </row>
    <row r="6" spans="1:12" x14ac:dyDescent="0.25">
      <c r="A6">
        <v>5</v>
      </c>
      <c r="B6" t="s">
        <v>282</v>
      </c>
      <c r="C6">
        <v>6</v>
      </c>
      <c r="D6" t="s">
        <v>154</v>
      </c>
      <c r="E6" t="s">
        <v>1682</v>
      </c>
      <c r="F6" t="s">
        <v>1683</v>
      </c>
      <c r="G6" t="s">
        <v>1672</v>
      </c>
      <c r="H6" t="s">
        <v>1684</v>
      </c>
      <c r="I6" t="s">
        <v>1685</v>
      </c>
      <c r="J6" t="s">
        <v>1686</v>
      </c>
      <c r="K6" t="s">
        <v>122</v>
      </c>
      <c r="L6" t="s">
        <v>1663</v>
      </c>
    </row>
    <row r="7" spans="1:12" x14ac:dyDescent="0.25">
      <c r="A7">
        <v>6</v>
      </c>
      <c r="B7" t="s">
        <v>284</v>
      </c>
      <c r="C7">
        <v>8</v>
      </c>
      <c r="D7" t="s">
        <v>152</v>
      </c>
      <c r="E7" t="s">
        <v>1687</v>
      </c>
      <c r="F7" t="s">
        <v>1688</v>
      </c>
      <c r="G7" t="s">
        <v>1688</v>
      </c>
      <c r="H7" t="s">
        <v>1689</v>
      </c>
      <c r="I7" t="s">
        <v>1690</v>
      </c>
      <c r="J7" t="s">
        <v>1691</v>
      </c>
      <c r="K7" t="s">
        <v>122</v>
      </c>
      <c r="L7" t="s">
        <v>1692</v>
      </c>
    </row>
    <row r="8" spans="1:12" x14ac:dyDescent="0.25">
      <c r="A8">
        <v>7</v>
      </c>
      <c r="B8" t="s">
        <v>287</v>
      </c>
      <c r="C8">
        <v>9</v>
      </c>
      <c r="D8" t="s">
        <v>1693</v>
      </c>
      <c r="E8" t="s">
        <v>1694</v>
      </c>
      <c r="F8" t="s">
        <v>1695</v>
      </c>
      <c r="G8" t="s">
        <v>1688</v>
      </c>
      <c r="H8" t="s">
        <v>1696</v>
      </c>
      <c r="I8" t="s">
        <v>1697</v>
      </c>
      <c r="J8" t="s">
        <v>1691</v>
      </c>
      <c r="K8" t="s">
        <v>122</v>
      </c>
      <c r="L8" t="s">
        <v>1698</v>
      </c>
    </row>
    <row r="9" spans="1:12" x14ac:dyDescent="0.25">
      <c r="A9">
        <v>8</v>
      </c>
      <c r="B9" t="s">
        <v>289</v>
      </c>
      <c r="C9">
        <v>10</v>
      </c>
      <c r="D9" t="s">
        <v>152</v>
      </c>
      <c r="E9" t="s">
        <v>1699</v>
      </c>
      <c r="F9" t="s">
        <v>1700</v>
      </c>
      <c r="G9" t="s">
        <v>1688</v>
      </c>
      <c r="H9" t="s">
        <v>1701</v>
      </c>
      <c r="I9" t="s">
        <v>1702</v>
      </c>
      <c r="J9" t="s">
        <v>1703</v>
      </c>
      <c r="K9" t="s">
        <v>122</v>
      </c>
      <c r="L9" t="s">
        <v>1704</v>
      </c>
    </row>
    <row r="10" spans="1:12" x14ac:dyDescent="0.25">
      <c r="A10">
        <v>9</v>
      </c>
      <c r="B10" t="s">
        <v>291</v>
      </c>
      <c r="C10">
        <v>11</v>
      </c>
      <c r="D10" t="s">
        <v>152</v>
      </c>
      <c r="E10" t="s">
        <v>1705</v>
      </c>
      <c r="F10" t="s">
        <v>1706</v>
      </c>
      <c r="G10" t="s">
        <v>1707</v>
      </c>
      <c r="H10" t="s">
        <v>1708</v>
      </c>
      <c r="I10" t="s">
        <v>1709</v>
      </c>
      <c r="J10" t="s">
        <v>1710</v>
      </c>
      <c r="K10" t="s">
        <v>122</v>
      </c>
      <c r="L10" t="s">
        <v>1711</v>
      </c>
    </row>
    <row r="11" spans="1:12" x14ac:dyDescent="0.25">
      <c r="A11">
        <v>10</v>
      </c>
      <c r="B11" t="s">
        <v>293</v>
      </c>
      <c r="C11">
        <v>12</v>
      </c>
      <c r="D11" t="s">
        <v>158</v>
      </c>
      <c r="E11" t="s">
        <v>1712</v>
      </c>
      <c r="F11" t="s">
        <v>1713</v>
      </c>
      <c r="G11" t="s">
        <v>1688</v>
      </c>
      <c r="H11" t="s">
        <v>1714</v>
      </c>
      <c r="I11" t="s">
        <v>1690</v>
      </c>
      <c r="J11" t="s">
        <v>1715</v>
      </c>
      <c r="K11" t="s">
        <v>122</v>
      </c>
      <c r="L11" t="s">
        <v>1716</v>
      </c>
    </row>
    <row r="12" spans="1:12" x14ac:dyDescent="0.25">
      <c r="A12">
        <v>11</v>
      </c>
      <c r="B12" t="s">
        <v>295</v>
      </c>
      <c r="C12">
        <v>13</v>
      </c>
      <c r="D12" t="s">
        <v>165</v>
      </c>
      <c r="E12" t="s">
        <v>1717</v>
      </c>
      <c r="F12" t="s">
        <v>1658</v>
      </c>
      <c r="G12" t="s">
        <v>1688</v>
      </c>
      <c r="H12" t="s">
        <v>1718</v>
      </c>
      <c r="I12" t="s">
        <v>1719</v>
      </c>
      <c r="J12" t="s">
        <v>1720</v>
      </c>
      <c r="K12" t="s">
        <v>122</v>
      </c>
      <c r="L12" t="s">
        <v>1721</v>
      </c>
    </row>
    <row r="13" spans="1:12" x14ac:dyDescent="0.25">
      <c r="A13">
        <v>12</v>
      </c>
      <c r="B13" t="s">
        <v>297</v>
      </c>
      <c r="C13">
        <v>14</v>
      </c>
      <c r="D13" t="s">
        <v>168</v>
      </c>
      <c r="E13" t="s">
        <v>1722</v>
      </c>
      <c r="F13" t="s">
        <v>1723</v>
      </c>
      <c r="G13" t="s">
        <v>894</v>
      </c>
      <c r="H13" t="s">
        <v>1724</v>
      </c>
      <c r="I13" t="s">
        <v>1725</v>
      </c>
      <c r="J13" t="s">
        <v>1726</v>
      </c>
      <c r="K13" t="s">
        <v>122</v>
      </c>
      <c r="L13" t="s">
        <v>1727</v>
      </c>
    </row>
    <row r="14" spans="1:12" x14ac:dyDescent="0.25">
      <c r="A14">
        <v>13</v>
      </c>
      <c r="B14" t="s">
        <v>299</v>
      </c>
      <c r="C14">
        <v>15</v>
      </c>
      <c r="D14" t="s">
        <v>153</v>
      </c>
      <c r="E14" t="s">
        <v>1728</v>
      </c>
      <c r="F14" t="s">
        <v>1729</v>
      </c>
      <c r="G14" t="s">
        <v>1688</v>
      </c>
      <c r="H14" t="s">
        <v>1730</v>
      </c>
      <c r="I14" t="s">
        <v>1731</v>
      </c>
      <c r="J14" t="s">
        <v>1732</v>
      </c>
      <c r="K14" t="s">
        <v>122</v>
      </c>
      <c r="L14" t="s">
        <v>1733</v>
      </c>
    </row>
    <row r="15" spans="1:12" x14ac:dyDescent="0.25">
      <c r="A15">
        <v>14</v>
      </c>
      <c r="B15" t="s">
        <v>301</v>
      </c>
      <c r="C15">
        <v>16</v>
      </c>
      <c r="D15" t="s">
        <v>155</v>
      </c>
      <c r="E15" t="s">
        <v>1734</v>
      </c>
      <c r="F15" t="s">
        <v>1735</v>
      </c>
      <c r="G15" t="s">
        <v>1736</v>
      </c>
      <c r="H15" t="s">
        <v>1737</v>
      </c>
      <c r="I15" t="s">
        <v>1738</v>
      </c>
      <c r="J15" t="s">
        <v>1739</v>
      </c>
      <c r="K15" t="s">
        <v>122</v>
      </c>
      <c r="L15" t="s">
        <v>1740</v>
      </c>
    </row>
    <row r="16" spans="1:12" x14ac:dyDescent="0.25">
      <c r="A16">
        <v>15</v>
      </c>
      <c r="B16" t="s">
        <v>303</v>
      </c>
      <c r="C16">
        <v>7</v>
      </c>
      <c r="D16" t="s">
        <v>152</v>
      </c>
      <c r="E16" t="s">
        <v>1741</v>
      </c>
      <c r="F16" t="s">
        <v>1742</v>
      </c>
      <c r="G16" t="s">
        <v>1688</v>
      </c>
      <c r="H16" t="s">
        <v>1743</v>
      </c>
      <c r="I16" t="s">
        <v>1744</v>
      </c>
      <c r="J16" t="s">
        <v>1745</v>
      </c>
      <c r="K16" t="s">
        <v>122</v>
      </c>
      <c r="L16" t="s">
        <v>1746</v>
      </c>
    </row>
    <row r="17" spans="1:12" x14ac:dyDescent="0.25">
      <c r="A17">
        <v>16</v>
      </c>
      <c r="B17" t="s">
        <v>305</v>
      </c>
      <c r="C17">
        <v>23</v>
      </c>
      <c r="D17" t="s">
        <v>157</v>
      </c>
      <c r="E17" t="s">
        <v>1747</v>
      </c>
      <c r="F17" t="s">
        <v>1748</v>
      </c>
      <c r="G17" t="s">
        <v>1688</v>
      </c>
      <c r="H17" t="s">
        <v>1749</v>
      </c>
      <c r="I17" t="s">
        <v>1750</v>
      </c>
      <c r="J17" t="s">
        <v>1726</v>
      </c>
      <c r="K17" t="s">
        <v>122</v>
      </c>
      <c r="L17" t="s">
        <v>1751</v>
      </c>
    </row>
    <row r="18" spans="1:12" x14ac:dyDescent="0.25">
      <c r="A18">
        <v>17</v>
      </c>
      <c r="B18" t="s">
        <v>307</v>
      </c>
      <c r="C18">
        <v>24</v>
      </c>
      <c r="D18" t="s">
        <v>153</v>
      </c>
      <c r="E18" t="s">
        <v>1752</v>
      </c>
      <c r="F18" t="s">
        <v>1753</v>
      </c>
      <c r="G18" t="s">
        <v>1688</v>
      </c>
      <c r="H18" t="s">
        <v>1754</v>
      </c>
      <c r="I18" t="s">
        <v>1755</v>
      </c>
      <c r="J18" t="s">
        <v>1756</v>
      </c>
      <c r="K18" t="s">
        <v>122</v>
      </c>
      <c r="L18" t="s">
        <v>1757</v>
      </c>
    </row>
    <row r="19" spans="1:12" x14ac:dyDescent="0.25">
      <c r="A19">
        <v>18</v>
      </c>
      <c r="B19" t="s">
        <v>309</v>
      </c>
      <c r="C19">
        <v>25</v>
      </c>
      <c r="D19" t="s">
        <v>152</v>
      </c>
      <c r="E19" t="s">
        <v>1758</v>
      </c>
      <c r="F19" t="s">
        <v>1759</v>
      </c>
      <c r="G19" t="s">
        <v>1760</v>
      </c>
      <c r="H19" t="s">
        <v>1761</v>
      </c>
      <c r="I19" t="s">
        <v>1762</v>
      </c>
      <c r="J19" t="s">
        <v>1763</v>
      </c>
      <c r="K19" t="s">
        <v>122</v>
      </c>
      <c r="L19" t="s">
        <v>1764</v>
      </c>
    </row>
    <row r="20" spans="1:12" x14ac:dyDescent="0.25">
      <c r="A20">
        <v>19</v>
      </c>
      <c r="B20" t="s">
        <v>311</v>
      </c>
      <c r="C20">
        <v>26</v>
      </c>
      <c r="D20" t="s">
        <v>156</v>
      </c>
      <c r="E20" t="s">
        <v>1765</v>
      </c>
      <c r="F20" t="s">
        <v>1688</v>
      </c>
      <c r="G20" t="s">
        <v>1688</v>
      </c>
      <c r="H20" t="s">
        <v>1766</v>
      </c>
      <c r="I20" t="s">
        <v>1767</v>
      </c>
      <c r="J20" t="s">
        <v>1745</v>
      </c>
      <c r="K20" t="s">
        <v>122</v>
      </c>
      <c r="L20" t="s">
        <v>1768</v>
      </c>
    </row>
    <row r="21" spans="1:12" x14ac:dyDescent="0.25">
      <c r="A21">
        <v>20</v>
      </c>
      <c r="B21" t="s">
        <v>312</v>
      </c>
      <c r="C21">
        <v>17</v>
      </c>
      <c r="D21" t="s">
        <v>170</v>
      </c>
      <c r="E21" t="s">
        <v>1769</v>
      </c>
      <c r="F21" t="s">
        <v>1658</v>
      </c>
      <c r="G21" t="s">
        <v>1688</v>
      </c>
      <c r="H21" t="s">
        <v>1770</v>
      </c>
      <c r="I21" t="s">
        <v>1771</v>
      </c>
      <c r="J21" t="s">
        <v>1772</v>
      </c>
      <c r="K21" t="s">
        <v>122</v>
      </c>
      <c r="L21" t="s">
        <v>1773</v>
      </c>
    </row>
    <row r="22" spans="1:12" x14ac:dyDescent="0.25">
      <c r="A22">
        <v>21</v>
      </c>
      <c r="B22" t="s">
        <v>314</v>
      </c>
      <c r="C22">
        <v>18</v>
      </c>
      <c r="D22" t="s">
        <v>1774</v>
      </c>
      <c r="E22" t="s">
        <v>1775</v>
      </c>
      <c r="F22" t="s">
        <v>1688</v>
      </c>
      <c r="G22" t="s">
        <v>1688</v>
      </c>
      <c r="H22" t="s">
        <v>1776</v>
      </c>
      <c r="I22" t="s">
        <v>1777</v>
      </c>
      <c r="J22" t="s">
        <v>1745</v>
      </c>
      <c r="K22" t="s">
        <v>122</v>
      </c>
      <c r="L22" t="s">
        <v>1778</v>
      </c>
    </row>
    <row r="23" spans="1:12" s="32" customFormat="1" x14ac:dyDescent="0.25">
      <c r="A23" s="32">
        <v>22</v>
      </c>
      <c r="B23" s="32" t="s">
        <v>316</v>
      </c>
      <c r="C23" s="32">
        <v>19</v>
      </c>
      <c r="D23" s="32" t="s">
        <v>153</v>
      </c>
      <c r="E23" s="32" t="s">
        <v>1779</v>
      </c>
      <c r="F23" s="32" t="s">
        <v>1780</v>
      </c>
      <c r="G23" s="32" t="s">
        <v>1688</v>
      </c>
      <c r="H23" s="32" t="s">
        <v>1781</v>
      </c>
      <c r="I23" s="32" t="s">
        <v>1782</v>
      </c>
      <c r="J23" s="32" t="s">
        <v>1783</v>
      </c>
      <c r="K23" s="32" t="s">
        <v>122</v>
      </c>
      <c r="L23" s="32" t="s">
        <v>1784</v>
      </c>
    </row>
    <row r="24" spans="1:12" x14ac:dyDescent="0.25">
      <c r="A24">
        <v>23</v>
      </c>
      <c r="B24" t="s">
        <v>318</v>
      </c>
      <c r="C24">
        <v>20</v>
      </c>
      <c r="D24" t="s">
        <v>169</v>
      </c>
      <c r="E24" t="s">
        <v>1785</v>
      </c>
      <c r="F24" t="s">
        <v>1786</v>
      </c>
      <c r="G24" t="s">
        <v>1688</v>
      </c>
      <c r="H24" t="s">
        <v>1787</v>
      </c>
      <c r="I24" t="s">
        <v>1788</v>
      </c>
      <c r="J24" t="s">
        <v>1720</v>
      </c>
      <c r="K24" t="s">
        <v>122</v>
      </c>
      <c r="L24" t="s">
        <v>1789</v>
      </c>
    </row>
    <row r="25" spans="1:12" x14ac:dyDescent="0.25">
      <c r="A25">
        <v>24</v>
      </c>
      <c r="B25" t="s">
        <v>320</v>
      </c>
      <c r="C25">
        <v>21</v>
      </c>
      <c r="D25" t="s">
        <v>157</v>
      </c>
      <c r="E25" t="s">
        <v>1790</v>
      </c>
      <c r="F25" t="s">
        <v>1791</v>
      </c>
      <c r="G25" t="s">
        <v>1688</v>
      </c>
      <c r="H25" t="s">
        <v>1792</v>
      </c>
      <c r="I25" t="s">
        <v>1793</v>
      </c>
      <c r="J25" t="s">
        <v>1688</v>
      </c>
      <c r="K25" t="s">
        <v>122</v>
      </c>
      <c r="L25" t="s">
        <v>1794</v>
      </c>
    </row>
    <row r="26" spans="1:12" x14ac:dyDescent="0.25">
      <c r="A26">
        <v>25</v>
      </c>
      <c r="B26" t="s">
        <v>322</v>
      </c>
      <c r="C26">
        <v>22</v>
      </c>
      <c r="D26" t="s">
        <v>152</v>
      </c>
      <c r="E26" t="s">
        <v>1795</v>
      </c>
      <c r="F26" t="s">
        <v>1796</v>
      </c>
      <c r="G26" t="s">
        <v>1688</v>
      </c>
      <c r="H26" t="s">
        <v>1797</v>
      </c>
      <c r="I26" t="s">
        <v>1798</v>
      </c>
      <c r="J26" t="s">
        <v>1688</v>
      </c>
      <c r="K26" t="s">
        <v>122</v>
      </c>
      <c r="L26" t="s">
        <v>1799</v>
      </c>
    </row>
    <row r="27" spans="1:12" x14ac:dyDescent="0.25">
      <c r="A27">
        <v>26</v>
      </c>
      <c r="B27" t="s">
        <v>324</v>
      </c>
      <c r="C27">
        <v>31</v>
      </c>
      <c r="D27" t="s">
        <v>159</v>
      </c>
      <c r="E27" t="s">
        <v>1800</v>
      </c>
      <c r="F27" t="s">
        <v>1801</v>
      </c>
      <c r="G27" t="s">
        <v>1688</v>
      </c>
      <c r="H27" t="s">
        <v>1802</v>
      </c>
      <c r="I27" t="s">
        <v>1803</v>
      </c>
      <c r="J27" t="s">
        <v>1804</v>
      </c>
      <c r="K27" t="s">
        <v>1805</v>
      </c>
      <c r="L27" t="s">
        <v>1806</v>
      </c>
    </row>
    <row r="28" spans="1:12" x14ac:dyDescent="0.25">
      <c r="A28">
        <v>27</v>
      </c>
      <c r="B28" t="s">
        <v>326</v>
      </c>
      <c r="C28">
        <v>32</v>
      </c>
      <c r="D28" t="s">
        <v>161</v>
      </c>
      <c r="E28" t="s">
        <v>1807</v>
      </c>
      <c r="F28" t="s">
        <v>1683</v>
      </c>
      <c r="G28" t="s">
        <v>1688</v>
      </c>
      <c r="H28" t="s">
        <v>1808</v>
      </c>
      <c r="I28" t="s">
        <v>1809</v>
      </c>
      <c r="J28" t="s">
        <v>1810</v>
      </c>
      <c r="K28" t="s">
        <v>122</v>
      </c>
      <c r="L28" t="s">
        <v>1811</v>
      </c>
    </row>
    <row r="29" spans="1:12" x14ac:dyDescent="0.25">
      <c r="A29">
        <v>28</v>
      </c>
      <c r="B29" t="s">
        <v>328</v>
      </c>
      <c r="C29">
        <v>33</v>
      </c>
      <c r="D29" t="s">
        <v>153</v>
      </c>
      <c r="E29" t="s">
        <v>1812</v>
      </c>
      <c r="F29" t="s">
        <v>1791</v>
      </c>
      <c r="G29" t="s">
        <v>1688</v>
      </c>
      <c r="H29" t="s">
        <v>1813</v>
      </c>
      <c r="I29" t="s">
        <v>1814</v>
      </c>
      <c r="J29" t="s">
        <v>1720</v>
      </c>
      <c r="K29" t="s">
        <v>122</v>
      </c>
      <c r="L29" t="s">
        <v>1815</v>
      </c>
    </row>
    <row r="30" spans="1:12" x14ac:dyDescent="0.25">
      <c r="A30">
        <v>29</v>
      </c>
      <c r="B30" t="s">
        <v>330</v>
      </c>
      <c r="C30">
        <v>34</v>
      </c>
      <c r="D30" t="s">
        <v>164</v>
      </c>
      <c r="E30" t="s">
        <v>1816</v>
      </c>
      <c r="F30" t="s">
        <v>1817</v>
      </c>
      <c r="G30" t="s">
        <v>1688</v>
      </c>
      <c r="H30" t="s">
        <v>1818</v>
      </c>
      <c r="I30" t="s">
        <v>1819</v>
      </c>
      <c r="J30" t="s">
        <v>1820</v>
      </c>
      <c r="K30" t="s">
        <v>122</v>
      </c>
      <c r="L30" t="s">
        <v>1821</v>
      </c>
    </row>
    <row r="31" spans="1:12" x14ac:dyDescent="0.25">
      <c r="A31">
        <v>30</v>
      </c>
      <c r="B31" t="s">
        <v>332</v>
      </c>
      <c r="C31">
        <v>35</v>
      </c>
      <c r="D31" t="s">
        <v>1822</v>
      </c>
      <c r="E31" t="s">
        <v>1823</v>
      </c>
      <c r="F31" t="s">
        <v>1824</v>
      </c>
      <c r="G31" t="s">
        <v>1247</v>
      </c>
      <c r="H31" t="s">
        <v>1825</v>
      </c>
      <c r="I31" t="s">
        <v>1826</v>
      </c>
      <c r="J31" t="s">
        <v>1827</v>
      </c>
      <c r="K31" t="s">
        <v>1828</v>
      </c>
      <c r="L31" t="s">
        <v>1829</v>
      </c>
    </row>
    <row r="32" spans="1:12" x14ac:dyDescent="0.25">
      <c r="A32">
        <v>31</v>
      </c>
      <c r="B32" t="s">
        <v>334</v>
      </c>
      <c r="C32">
        <v>36</v>
      </c>
      <c r="D32" t="s">
        <v>158</v>
      </c>
      <c r="E32" t="s">
        <v>1830</v>
      </c>
      <c r="F32" t="s">
        <v>1658</v>
      </c>
      <c r="G32" t="s">
        <v>1688</v>
      </c>
      <c r="H32" t="s">
        <v>1831</v>
      </c>
      <c r="I32" t="s">
        <v>1832</v>
      </c>
      <c r="J32" t="s">
        <v>1833</v>
      </c>
      <c r="K32" t="s">
        <v>122</v>
      </c>
      <c r="L32" t="s">
        <v>1834</v>
      </c>
    </row>
    <row r="33" spans="1:12" x14ac:dyDescent="0.25">
      <c r="A33">
        <v>32</v>
      </c>
      <c r="B33" t="s">
        <v>336</v>
      </c>
      <c r="C33">
        <v>27</v>
      </c>
      <c r="D33" t="s">
        <v>154</v>
      </c>
      <c r="E33" t="s">
        <v>1835</v>
      </c>
      <c r="F33" t="s">
        <v>1836</v>
      </c>
      <c r="G33" t="s">
        <v>1688</v>
      </c>
      <c r="H33" t="s">
        <v>1837</v>
      </c>
      <c r="I33" t="s">
        <v>1838</v>
      </c>
      <c r="J33" t="s">
        <v>1839</v>
      </c>
      <c r="K33" t="s">
        <v>122</v>
      </c>
      <c r="L33" t="s">
        <v>1840</v>
      </c>
    </row>
    <row r="34" spans="1:12" x14ac:dyDescent="0.25">
      <c r="A34">
        <v>33</v>
      </c>
      <c r="B34" t="s">
        <v>338</v>
      </c>
      <c r="C34">
        <v>28</v>
      </c>
      <c r="D34" t="s">
        <v>154</v>
      </c>
      <c r="E34" t="s">
        <v>1841</v>
      </c>
      <c r="F34" t="s">
        <v>1842</v>
      </c>
      <c r="G34" t="s">
        <v>1688</v>
      </c>
      <c r="H34" t="s">
        <v>1843</v>
      </c>
      <c r="I34" t="s">
        <v>1844</v>
      </c>
      <c r="J34" t="s">
        <v>1845</v>
      </c>
      <c r="K34" t="s">
        <v>122</v>
      </c>
      <c r="L34" t="s">
        <v>1846</v>
      </c>
    </row>
    <row r="35" spans="1:12" x14ac:dyDescent="0.25">
      <c r="A35">
        <v>34</v>
      </c>
      <c r="B35" t="s">
        <v>340</v>
      </c>
      <c r="C35">
        <v>29</v>
      </c>
      <c r="D35" t="s">
        <v>153</v>
      </c>
      <c r="E35" t="s">
        <v>1847</v>
      </c>
      <c r="F35" t="s">
        <v>1817</v>
      </c>
      <c r="G35" t="s">
        <v>1688</v>
      </c>
      <c r="H35" t="s">
        <v>1848</v>
      </c>
      <c r="I35" t="s">
        <v>1849</v>
      </c>
      <c r="J35" t="s">
        <v>1850</v>
      </c>
      <c r="K35" t="s">
        <v>122</v>
      </c>
      <c r="L35" t="s">
        <v>1851</v>
      </c>
    </row>
    <row r="36" spans="1:12" x14ac:dyDescent="0.25">
      <c r="A36">
        <v>35</v>
      </c>
      <c r="B36" t="s">
        <v>342</v>
      </c>
      <c r="C36">
        <v>30</v>
      </c>
      <c r="D36" t="s">
        <v>1852</v>
      </c>
      <c r="E36" t="s">
        <v>1853</v>
      </c>
      <c r="F36" t="s">
        <v>1854</v>
      </c>
      <c r="G36" t="s">
        <v>1855</v>
      </c>
      <c r="H36" t="s">
        <v>1856</v>
      </c>
      <c r="I36" t="s">
        <v>1857</v>
      </c>
      <c r="J36" t="s">
        <v>1858</v>
      </c>
      <c r="K36" t="s">
        <v>1859</v>
      </c>
      <c r="L36" t="s">
        <v>1860</v>
      </c>
    </row>
    <row r="37" spans="1:12" x14ac:dyDescent="0.25">
      <c r="A37">
        <v>36</v>
      </c>
      <c r="B37" t="s">
        <v>344</v>
      </c>
      <c r="C37">
        <v>38</v>
      </c>
      <c r="D37" t="s">
        <v>155</v>
      </c>
      <c r="E37" t="s">
        <v>1861</v>
      </c>
      <c r="F37" t="s">
        <v>1862</v>
      </c>
      <c r="G37" t="s">
        <v>1688</v>
      </c>
      <c r="H37" t="s">
        <v>1863</v>
      </c>
      <c r="I37" t="s">
        <v>1864</v>
      </c>
      <c r="J37" t="s">
        <v>1865</v>
      </c>
      <c r="K37" t="s">
        <v>122</v>
      </c>
      <c r="L37" t="s">
        <v>1866</v>
      </c>
    </row>
    <row r="38" spans="1:12" x14ac:dyDescent="0.25">
      <c r="A38">
        <v>37</v>
      </c>
      <c r="B38" t="s">
        <v>346</v>
      </c>
      <c r="C38">
        <v>39</v>
      </c>
      <c r="D38" t="s">
        <v>175</v>
      </c>
      <c r="E38" t="s">
        <v>1867</v>
      </c>
      <c r="F38" t="s">
        <v>1868</v>
      </c>
      <c r="G38" t="s">
        <v>1688</v>
      </c>
      <c r="H38" t="s">
        <v>1869</v>
      </c>
      <c r="I38" t="s">
        <v>254</v>
      </c>
      <c r="J38" t="s">
        <v>1870</v>
      </c>
      <c r="K38" t="s">
        <v>1871</v>
      </c>
      <c r="L38" t="s">
        <v>1872</v>
      </c>
    </row>
    <row r="39" spans="1:12" x14ac:dyDescent="0.25">
      <c r="A39">
        <v>38</v>
      </c>
      <c r="B39" t="s">
        <v>348</v>
      </c>
      <c r="C39">
        <v>40</v>
      </c>
      <c r="D39" t="s">
        <v>166</v>
      </c>
      <c r="E39" t="s">
        <v>1873</v>
      </c>
      <c r="F39" t="s">
        <v>1874</v>
      </c>
      <c r="G39" t="s">
        <v>1464</v>
      </c>
      <c r="H39" t="s">
        <v>1875</v>
      </c>
      <c r="I39" t="s">
        <v>1876</v>
      </c>
      <c r="J39" t="s">
        <v>1877</v>
      </c>
      <c r="K39" t="s">
        <v>122</v>
      </c>
      <c r="L39" t="s">
        <v>1878</v>
      </c>
    </row>
    <row r="40" spans="1:12" x14ac:dyDescent="0.25">
      <c r="A40">
        <v>39</v>
      </c>
      <c r="B40" t="s">
        <v>350</v>
      </c>
      <c r="C40">
        <v>41</v>
      </c>
      <c r="D40" t="s">
        <v>152</v>
      </c>
      <c r="E40" t="s">
        <v>1879</v>
      </c>
      <c r="F40" t="s">
        <v>1880</v>
      </c>
      <c r="G40" t="s">
        <v>1688</v>
      </c>
      <c r="H40" t="s">
        <v>1881</v>
      </c>
      <c r="I40" t="s">
        <v>1882</v>
      </c>
      <c r="J40" t="s">
        <v>1883</v>
      </c>
      <c r="K40" t="s">
        <v>122</v>
      </c>
      <c r="L40" t="s">
        <v>1884</v>
      </c>
    </row>
    <row r="41" spans="1:12" x14ac:dyDescent="0.25">
      <c r="A41">
        <v>40</v>
      </c>
      <c r="B41" t="s">
        <v>352</v>
      </c>
      <c r="C41">
        <v>42</v>
      </c>
      <c r="D41" t="s">
        <v>154</v>
      </c>
      <c r="E41" t="s">
        <v>1885</v>
      </c>
      <c r="F41" t="s">
        <v>1886</v>
      </c>
      <c r="G41" t="s">
        <v>1688</v>
      </c>
      <c r="H41" t="s">
        <v>1887</v>
      </c>
      <c r="I41" t="s">
        <v>254</v>
      </c>
      <c r="J41" t="s">
        <v>1888</v>
      </c>
      <c r="K41" t="s">
        <v>122</v>
      </c>
      <c r="L41" t="s">
        <v>1889</v>
      </c>
    </row>
    <row r="42" spans="1:12" x14ac:dyDescent="0.25">
      <c r="A42">
        <v>41</v>
      </c>
      <c r="B42" t="s">
        <v>354</v>
      </c>
      <c r="C42">
        <v>43</v>
      </c>
      <c r="D42" t="s">
        <v>152</v>
      </c>
      <c r="E42" t="s">
        <v>1890</v>
      </c>
      <c r="F42" t="s">
        <v>1891</v>
      </c>
      <c r="G42" t="s">
        <v>1892</v>
      </c>
      <c r="H42" t="s">
        <v>1893</v>
      </c>
      <c r="I42" t="s">
        <v>1894</v>
      </c>
      <c r="J42" t="s">
        <v>1895</v>
      </c>
      <c r="K42" t="s">
        <v>122</v>
      </c>
      <c r="L42" t="s">
        <v>1896</v>
      </c>
    </row>
    <row r="43" spans="1:12" x14ac:dyDescent="0.25">
      <c r="A43">
        <v>42</v>
      </c>
      <c r="B43" t="s">
        <v>356</v>
      </c>
      <c r="C43">
        <v>44</v>
      </c>
      <c r="D43" t="s">
        <v>163</v>
      </c>
      <c r="E43" t="s">
        <v>1897</v>
      </c>
      <c r="F43" t="s">
        <v>1898</v>
      </c>
      <c r="G43" t="s">
        <v>1688</v>
      </c>
      <c r="H43" t="s">
        <v>1899</v>
      </c>
      <c r="I43" t="s">
        <v>254</v>
      </c>
      <c r="J43" t="s">
        <v>1900</v>
      </c>
      <c r="K43" t="s">
        <v>122</v>
      </c>
      <c r="L43" t="s">
        <v>1901</v>
      </c>
    </row>
    <row r="44" spans="1:12" x14ac:dyDescent="0.25">
      <c r="A44">
        <v>43</v>
      </c>
      <c r="B44" t="s">
        <v>358</v>
      </c>
      <c r="C44">
        <v>45</v>
      </c>
      <c r="D44" t="s">
        <v>155</v>
      </c>
      <c r="E44" t="s">
        <v>1902</v>
      </c>
      <c r="F44" t="s">
        <v>1658</v>
      </c>
      <c r="G44" t="s">
        <v>1688</v>
      </c>
      <c r="H44" t="s">
        <v>1903</v>
      </c>
      <c r="I44" t="s">
        <v>254</v>
      </c>
      <c r="J44" t="s">
        <v>1904</v>
      </c>
      <c r="K44" t="s">
        <v>122</v>
      </c>
      <c r="L44" t="s">
        <v>1905</v>
      </c>
    </row>
    <row r="45" spans="1:12" x14ac:dyDescent="0.25">
      <c r="A45">
        <v>44</v>
      </c>
      <c r="B45" t="s">
        <v>360</v>
      </c>
      <c r="C45">
        <v>46</v>
      </c>
      <c r="D45" t="s">
        <v>167</v>
      </c>
      <c r="E45" t="s">
        <v>1906</v>
      </c>
      <c r="F45" t="s">
        <v>1907</v>
      </c>
      <c r="G45" t="s">
        <v>1688</v>
      </c>
      <c r="H45" t="s">
        <v>1908</v>
      </c>
      <c r="I45" t="s">
        <v>254</v>
      </c>
      <c r="J45" t="s">
        <v>1909</v>
      </c>
      <c r="K45" t="s">
        <v>1910</v>
      </c>
      <c r="L45" t="s">
        <v>1911</v>
      </c>
    </row>
    <row r="46" spans="1:12" x14ac:dyDescent="0.25">
      <c r="A46">
        <v>45</v>
      </c>
      <c r="B46" t="s">
        <v>362</v>
      </c>
      <c r="C46">
        <v>37</v>
      </c>
      <c r="D46" t="s">
        <v>171</v>
      </c>
      <c r="E46" t="s">
        <v>1912</v>
      </c>
      <c r="F46" t="s">
        <v>1658</v>
      </c>
      <c r="G46" t="s">
        <v>1688</v>
      </c>
      <c r="H46" t="s">
        <v>1913</v>
      </c>
      <c r="I46" t="s">
        <v>254</v>
      </c>
      <c r="J46" t="s">
        <v>1914</v>
      </c>
      <c r="K46" t="s">
        <v>122</v>
      </c>
      <c r="L46" t="s">
        <v>1915</v>
      </c>
    </row>
  </sheetData>
  <pageMargins left="0.75" right="0.75" top="1" bottom="1"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Codebook</vt:lpstr>
      <vt:lpstr>Evidence Map</vt:lpstr>
      <vt:lpstr>Charts</vt:lpstr>
      <vt:lpstr>MMAT Appraisal</vt:lpstr>
      <vt:lpstr>Sheet1</vt:lpstr>
      <vt:lpstr>Old AR-AY (realigned)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Muhammad Ahsan</dc:creator>
  <dc:description/>
  <cp:lastModifiedBy>Muhammad Ahsan</cp:lastModifiedBy>
  <cp:revision>1</cp:revision>
  <dcterms:created xsi:type="dcterms:W3CDTF">2026-09-22T06:03:39Z</dcterms:created>
  <dcterms:modified xsi:type="dcterms:W3CDTF">2026-09-30T01:54:01Z</dcterms:modified>
  <dc:language>en-US</dc:language>
</cp:coreProperties>
</file>